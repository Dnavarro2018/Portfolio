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Daniel\OneDrive\Documentos\Modelos Personalizados do Office\"/>
    </mc:Choice>
  </mc:AlternateContent>
  <xr:revisionPtr revIDLastSave="0" documentId="13_ncr:1_{A42CBECF-958F-430C-AECE-D999F4ABD9F3}" xr6:coauthVersionLast="47" xr6:coauthVersionMax="47" xr10:uidLastSave="{00000000-0000-0000-0000-000000000000}"/>
  <bookViews>
    <workbookView xWindow="-120" yWindow="-120" windowWidth="29040" windowHeight="15840" xr2:uid="{1E576865-19D1-423C-92E8-4BF7DC2F740A}"/>
  </bookViews>
  <sheets>
    <sheet name="Tela Inicial" sheetId="3" r:id="rId1"/>
    <sheet name="Gráficos" sheetId="15" r:id="rId2"/>
    <sheet name="Janeiro" sheetId="4" r:id="rId3"/>
    <sheet name="Fevereiro" sheetId="5" r:id="rId4"/>
    <sheet name="Março" sheetId="6" r:id="rId5"/>
    <sheet name="Abril" sheetId="7" r:id="rId6"/>
    <sheet name="Maio" sheetId="8" r:id="rId7"/>
    <sheet name="Junho" sheetId="9" r:id="rId8"/>
    <sheet name="Julho" sheetId="10" r:id="rId9"/>
    <sheet name="Agosto" sheetId="11" r:id="rId10"/>
    <sheet name="Setembro" sheetId="12" r:id="rId11"/>
    <sheet name="Outubro" sheetId="13" r:id="rId12"/>
    <sheet name="Novembro" sheetId="14" r:id="rId13"/>
    <sheet name="Dezembro 2021" sheetId="1" r:id="rId14"/>
    <sheet name="Base de Dados" sheetId="2" r:id="rId15"/>
  </sheets>
  <definedNames>
    <definedName name="_xlnm._FilterDatabase" localSheetId="13" hidden="1">'Dezembro 2021'!#REF!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C16" i="15" l="1"/>
  <c r="CC14" i="15"/>
  <c r="CF10" i="15"/>
  <c r="CF9" i="15"/>
  <c r="CF8" i="15"/>
  <c r="CF7" i="15"/>
  <c r="CF6" i="15"/>
  <c r="CF5" i="15"/>
  <c r="CG5" i="15" s="1"/>
  <c r="CF4" i="15"/>
  <c r="CF3" i="15"/>
  <c r="CF2" i="15"/>
  <c r="CE10" i="15"/>
  <c r="CE9" i="15"/>
  <c r="CE8" i="15"/>
  <c r="CE7" i="15"/>
  <c r="CE6" i="15"/>
  <c r="CG6" i="15" s="1"/>
  <c r="CE5" i="15"/>
  <c r="CE4" i="15"/>
  <c r="CE3" i="15"/>
  <c r="CE2" i="15"/>
  <c r="CD10" i="15"/>
  <c r="CD9" i="15"/>
  <c r="CD8" i="15"/>
  <c r="CD7" i="15"/>
  <c r="CG7" i="15" s="1"/>
  <c r="CD6" i="15"/>
  <c r="CD5" i="15"/>
  <c r="CD4" i="15"/>
  <c r="CD3" i="15"/>
  <c r="CD2" i="15"/>
  <c r="CC3" i="15"/>
  <c r="CC4" i="15"/>
  <c r="CG4" i="15" s="1"/>
  <c r="CC5" i="15"/>
  <c r="CC18" i="15" s="1"/>
  <c r="CC6" i="15"/>
  <c r="CC19" i="15" s="1"/>
  <c r="CC7" i="15"/>
  <c r="CC20" i="15" s="1"/>
  <c r="CC8" i="15"/>
  <c r="CC21" i="15" s="1"/>
  <c r="CC9" i="15"/>
  <c r="CC10" i="15"/>
  <c r="CG10" i="15" s="1"/>
  <c r="CC2" i="15"/>
  <c r="CC15" i="15" s="1"/>
  <c r="CG8" i="15"/>
  <c r="CB10" i="15"/>
  <c r="CB9" i="15"/>
  <c r="CB8" i="15"/>
  <c r="CB7" i="15"/>
  <c r="CB6" i="15"/>
  <c r="CB5" i="15"/>
  <c r="CB4" i="15"/>
  <c r="CB3" i="15"/>
  <c r="E36" i="1"/>
  <c r="D36" i="1"/>
  <c r="B36" i="1"/>
  <c r="E35" i="1"/>
  <c r="D35" i="1"/>
  <c r="B35" i="1"/>
  <c r="E34" i="1"/>
  <c r="D34" i="1"/>
  <c r="B34" i="1"/>
  <c r="E33" i="1"/>
  <c r="D33" i="1"/>
  <c r="B33" i="1"/>
  <c r="E32" i="1"/>
  <c r="D32" i="1"/>
  <c r="B32" i="1"/>
  <c r="E31" i="1"/>
  <c r="D31" i="1"/>
  <c r="B31" i="1"/>
  <c r="E30" i="1"/>
  <c r="D30" i="1"/>
  <c r="B30" i="1"/>
  <c r="E29" i="1"/>
  <c r="D29" i="1"/>
  <c r="B29" i="1"/>
  <c r="E28" i="1"/>
  <c r="D28" i="1"/>
  <c r="B28" i="1"/>
  <c r="K24" i="1"/>
  <c r="J24" i="1"/>
  <c r="H24" i="1"/>
  <c r="E24" i="1"/>
  <c r="D24" i="1"/>
  <c r="B24" i="1"/>
  <c r="K23" i="1"/>
  <c r="J23" i="1"/>
  <c r="H23" i="1"/>
  <c r="E23" i="1"/>
  <c r="D23" i="1"/>
  <c r="B23" i="1"/>
  <c r="K22" i="1"/>
  <c r="J22" i="1"/>
  <c r="H22" i="1"/>
  <c r="E22" i="1"/>
  <c r="D22" i="1"/>
  <c r="B22" i="1"/>
  <c r="K21" i="1"/>
  <c r="J21" i="1"/>
  <c r="H21" i="1"/>
  <c r="E21" i="1"/>
  <c r="D21" i="1"/>
  <c r="B21" i="1"/>
  <c r="K20" i="1"/>
  <c r="J20" i="1"/>
  <c r="H20" i="1"/>
  <c r="E20" i="1"/>
  <c r="D20" i="1"/>
  <c r="B20" i="1"/>
  <c r="K19" i="1"/>
  <c r="J19" i="1"/>
  <c r="H19" i="1"/>
  <c r="E19" i="1"/>
  <c r="D19" i="1"/>
  <c r="B19" i="1"/>
  <c r="K18" i="1"/>
  <c r="J18" i="1"/>
  <c r="H18" i="1"/>
  <c r="E18" i="1"/>
  <c r="D18" i="1"/>
  <c r="B18" i="1"/>
  <c r="K17" i="1"/>
  <c r="J17" i="1"/>
  <c r="H17" i="1"/>
  <c r="E17" i="1"/>
  <c r="D17" i="1"/>
  <c r="B17" i="1"/>
  <c r="K16" i="1"/>
  <c r="J16" i="1"/>
  <c r="H16" i="1"/>
  <c r="E16" i="1"/>
  <c r="D16" i="1"/>
  <c r="B16" i="1"/>
  <c r="K12" i="1"/>
  <c r="J12" i="1"/>
  <c r="H12" i="1"/>
  <c r="E12" i="1"/>
  <c r="D12" i="1"/>
  <c r="B12" i="1"/>
  <c r="K11" i="1"/>
  <c r="J11" i="1"/>
  <c r="H11" i="1"/>
  <c r="E11" i="1"/>
  <c r="D11" i="1"/>
  <c r="B11" i="1"/>
  <c r="K10" i="1"/>
  <c r="J10" i="1"/>
  <c r="H10" i="1"/>
  <c r="E10" i="1"/>
  <c r="D10" i="1"/>
  <c r="B10" i="1"/>
  <c r="K9" i="1"/>
  <c r="J9" i="1"/>
  <c r="H9" i="1"/>
  <c r="E9" i="1"/>
  <c r="D9" i="1"/>
  <c r="B9" i="1"/>
  <c r="K8" i="1"/>
  <c r="J8" i="1"/>
  <c r="H8" i="1"/>
  <c r="E8" i="1"/>
  <c r="D8" i="1"/>
  <c r="B8" i="1"/>
  <c r="K7" i="1"/>
  <c r="J7" i="1"/>
  <c r="H7" i="1"/>
  <c r="E7" i="1"/>
  <c r="D7" i="1"/>
  <c r="B7" i="1"/>
  <c r="K6" i="1"/>
  <c r="J6" i="1"/>
  <c r="H6" i="1"/>
  <c r="E6" i="1"/>
  <c r="D6" i="1"/>
  <c r="B6" i="1"/>
  <c r="K5" i="1"/>
  <c r="J5" i="1"/>
  <c r="H5" i="1"/>
  <c r="E5" i="1"/>
  <c r="D5" i="1"/>
  <c r="B5" i="1"/>
  <c r="K4" i="1"/>
  <c r="J4" i="1"/>
  <c r="H4" i="1"/>
  <c r="E4" i="1"/>
  <c r="D4" i="1"/>
  <c r="B4" i="1"/>
  <c r="E36" i="14"/>
  <c r="D36" i="14"/>
  <c r="B36" i="14"/>
  <c r="E35" i="14"/>
  <c r="D35" i="14"/>
  <c r="B35" i="14"/>
  <c r="E34" i="14"/>
  <c r="D34" i="14"/>
  <c r="B34" i="14"/>
  <c r="E33" i="14"/>
  <c r="D33" i="14"/>
  <c r="B33" i="14"/>
  <c r="E32" i="14"/>
  <c r="D32" i="14"/>
  <c r="B32" i="14"/>
  <c r="E31" i="14"/>
  <c r="D31" i="14"/>
  <c r="B31" i="14"/>
  <c r="E30" i="14"/>
  <c r="D30" i="14"/>
  <c r="B30" i="14"/>
  <c r="E29" i="14"/>
  <c r="D29" i="14"/>
  <c r="B29" i="14"/>
  <c r="E28" i="14"/>
  <c r="D28" i="14"/>
  <c r="B28" i="14"/>
  <c r="K24" i="14"/>
  <c r="J24" i="14"/>
  <c r="H24" i="14"/>
  <c r="E24" i="14"/>
  <c r="D24" i="14"/>
  <c r="B24" i="14"/>
  <c r="K23" i="14"/>
  <c r="J23" i="14"/>
  <c r="H23" i="14"/>
  <c r="E23" i="14"/>
  <c r="D23" i="14"/>
  <c r="B23" i="14"/>
  <c r="K22" i="14"/>
  <c r="J22" i="14"/>
  <c r="H22" i="14"/>
  <c r="E22" i="14"/>
  <c r="D22" i="14"/>
  <c r="B22" i="14"/>
  <c r="K21" i="14"/>
  <c r="J21" i="14"/>
  <c r="H21" i="14"/>
  <c r="E21" i="14"/>
  <c r="D21" i="14"/>
  <c r="B21" i="14"/>
  <c r="K20" i="14"/>
  <c r="J20" i="14"/>
  <c r="H20" i="14"/>
  <c r="E20" i="14"/>
  <c r="D20" i="14"/>
  <c r="B20" i="14"/>
  <c r="K19" i="14"/>
  <c r="J19" i="14"/>
  <c r="H19" i="14"/>
  <c r="E19" i="14"/>
  <c r="D19" i="14"/>
  <c r="B19" i="14"/>
  <c r="K18" i="14"/>
  <c r="J18" i="14"/>
  <c r="H18" i="14"/>
  <c r="E18" i="14"/>
  <c r="D18" i="14"/>
  <c r="B18" i="14"/>
  <c r="K17" i="14"/>
  <c r="J17" i="14"/>
  <c r="H17" i="14"/>
  <c r="E17" i="14"/>
  <c r="D17" i="14"/>
  <c r="B17" i="14"/>
  <c r="H16" i="14"/>
  <c r="J16" i="14" s="1"/>
  <c r="K16" i="14" s="1"/>
  <c r="E16" i="14"/>
  <c r="D16" i="14"/>
  <c r="B16" i="14"/>
  <c r="K12" i="14"/>
  <c r="J12" i="14"/>
  <c r="H12" i="14"/>
  <c r="E12" i="14"/>
  <c r="D12" i="14"/>
  <c r="B12" i="14"/>
  <c r="K11" i="14"/>
  <c r="J11" i="14"/>
  <c r="H11" i="14"/>
  <c r="E11" i="14"/>
  <c r="D11" i="14"/>
  <c r="B11" i="14"/>
  <c r="K10" i="14"/>
  <c r="J10" i="14"/>
  <c r="H10" i="14"/>
  <c r="E10" i="14"/>
  <c r="D10" i="14"/>
  <c r="B10" i="14"/>
  <c r="K9" i="14"/>
  <c r="J9" i="14"/>
  <c r="H9" i="14"/>
  <c r="E9" i="14"/>
  <c r="D9" i="14"/>
  <c r="B9" i="14"/>
  <c r="K8" i="14"/>
  <c r="J8" i="14"/>
  <c r="H8" i="14"/>
  <c r="E8" i="14"/>
  <c r="D8" i="14"/>
  <c r="B8" i="14"/>
  <c r="K7" i="14"/>
  <c r="J7" i="14"/>
  <c r="H7" i="14"/>
  <c r="E7" i="14"/>
  <c r="D7" i="14"/>
  <c r="B7" i="14"/>
  <c r="K6" i="14"/>
  <c r="J6" i="14"/>
  <c r="H6" i="14"/>
  <c r="E6" i="14"/>
  <c r="D6" i="14"/>
  <c r="B6" i="14"/>
  <c r="K5" i="14"/>
  <c r="J5" i="14"/>
  <c r="H5" i="14"/>
  <c r="E5" i="14"/>
  <c r="D5" i="14"/>
  <c r="B5" i="14"/>
  <c r="K4" i="14"/>
  <c r="J4" i="14"/>
  <c r="H4" i="14"/>
  <c r="E4" i="14"/>
  <c r="D4" i="14"/>
  <c r="B4" i="14"/>
  <c r="E36" i="13"/>
  <c r="D36" i="13"/>
  <c r="B36" i="13"/>
  <c r="E35" i="13"/>
  <c r="D35" i="13"/>
  <c r="B35" i="13"/>
  <c r="E34" i="13"/>
  <c r="D34" i="13"/>
  <c r="B34" i="13"/>
  <c r="E33" i="13"/>
  <c r="D33" i="13"/>
  <c r="B33" i="13"/>
  <c r="E32" i="13"/>
  <c r="D32" i="13"/>
  <c r="B32" i="13"/>
  <c r="E31" i="13"/>
  <c r="D31" i="13"/>
  <c r="B31" i="13"/>
  <c r="E30" i="13"/>
  <c r="D30" i="13"/>
  <c r="B30" i="13"/>
  <c r="E29" i="13"/>
  <c r="D29" i="13"/>
  <c r="B29" i="13"/>
  <c r="E28" i="13"/>
  <c r="D28" i="13"/>
  <c r="B28" i="13"/>
  <c r="K24" i="13"/>
  <c r="J24" i="13"/>
  <c r="H24" i="13"/>
  <c r="E24" i="13"/>
  <c r="D24" i="13"/>
  <c r="B24" i="13"/>
  <c r="K23" i="13"/>
  <c r="J23" i="13"/>
  <c r="H23" i="13"/>
  <c r="E23" i="13"/>
  <c r="D23" i="13"/>
  <c r="B23" i="13"/>
  <c r="K22" i="13"/>
  <c r="J22" i="13"/>
  <c r="H22" i="13"/>
  <c r="E22" i="13"/>
  <c r="D22" i="13"/>
  <c r="B22" i="13"/>
  <c r="K21" i="13"/>
  <c r="J21" i="13"/>
  <c r="H21" i="13"/>
  <c r="E21" i="13"/>
  <c r="D21" i="13"/>
  <c r="B21" i="13"/>
  <c r="K20" i="13"/>
  <c r="J20" i="13"/>
  <c r="H20" i="13"/>
  <c r="E20" i="13"/>
  <c r="D20" i="13"/>
  <c r="B20" i="13"/>
  <c r="K19" i="13"/>
  <c r="J19" i="13"/>
  <c r="H19" i="13"/>
  <c r="E19" i="13"/>
  <c r="D19" i="13"/>
  <c r="B19" i="13"/>
  <c r="K18" i="13"/>
  <c r="J18" i="13"/>
  <c r="H18" i="13"/>
  <c r="E18" i="13"/>
  <c r="D18" i="13"/>
  <c r="B18" i="13"/>
  <c r="K17" i="13"/>
  <c r="J17" i="13"/>
  <c r="H17" i="13"/>
  <c r="E17" i="13"/>
  <c r="D17" i="13"/>
  <c r="B17" i="13"/>
  <c r="K16" i="13"/>
  <c r="J16" i="13"/>
  <c r="H16" i="13"/>
  <c r="E16" i="13"/>
  <c r="D16" i="13"/>
  <c r="B16" i="13"/>
  <c r="K12" i="13"/>
  <c r="J12" i="13"/>
  <c r="H12" i="13"/>
  <c r="E12" i="13"/>
  <c r="D12" i="13"/>
  <c r="B12" i="13"/>
  <c r="K11" i="13"/>
  <c r="J11" i="13"/>
  <c r="H11" i="13"/>
  <c r="E11" i="13"/>
  <c r="D11" i="13"/>
  <c r="B11" i="13"/>
  <c r="K10" i="13"/>
  <c r="J10" i="13"/>
  <c r="H10" i="13"/>
  <c r="E10" i="13"/>
  <c r="D10" i="13"/>
  <c r="B10" i="13"/>
  <c r="K9" i="13"/>
  <c r="J9" i="13"/>
  <c r="H9" i="13"/>
  <c r="E9" i="13"/>
  <c r="D9" i="13"/>
  <c r="B9" i="13"/>
  <c r="K8" i="13"/>
  <c r="J8" i="13"/>
  <c r="H8" i="13"/>
  <c r="E8" i="13"/>
  <c r="D8" i="13"/>
  <c r="B8" i="13"/>
  <c r="K7" i="13"/>
  <c r="J7" i="13"/>
  <c r="H7" i="13"/>
  <c r="E7" i="13"/>
  <c r="D7" i="13"/>
  <c r="B7" i="13"/>
  <c r="K6" i="13"/>
  <c r="J6" i="13"/>
  <c r="H6" i="13"/>
  <c r="E6" i="13"/>
  <c r="D6" i="13"/>
  <c r="B6" i="13"/>
  <c r="K5" i="13"/>
  <c r="J5" i="13"/>
  <c r="H5" i="13"/>
  <c r="E5" i="13"/>
  <c r="D5" i="13"/>
  <c r="B5" i="13"/>
  <c r="K4" i="13"/>
  <c r="J4" i="13"/>
  <c r="H4" i="13"/>
  <c r="E4" i="13"/>
  <c r="D4" i="13"/>
  <c r="B4" i="13"/>
  <c r="B36" i="12"/>
  <c r="D36" i="12" s="1"/>
  <c r="E36" i="12" s="1"/>
  <c r="B35" i="12"/>
  <c r="D35" i="12" s="1"/>
  <c r="E35" i="12" s="1"/>
  <c r="B34" i="12"/>
  <c r="D34" i="12" s="1"/>
  <c r="E34" i="12" s="1"/>
  <c r="D33" i="12"/>
  <c r="E33" i="12" s="1"/>
  <c r="B33" i="12"/>
  <c r="D32" i="12"/>
  <c r="E32" i="12" s="1"/>
  <c r="B32" i="12"/>
  <c r="B31" i="12"/>
  <c r="D31" i="12" s="1"/>
  <c r="E31" i="12" s="1"/>
  <c r="B30" i="12"/>
  <c r="D30" i="12" s="1"/>
  <c r="E30" i="12" s="1"/>
  <c r="B29" i="12"/>
  <c r="D29" i="12" s="1"/>
  <c r="E29" i="12" s="1"/>
  <c r="B28" i="12"/>
  <c r="D28" i="12" s="1"/>
  <c r="E28" i="12" s="1"/>
  <c r="H24" i="12"/>
  <c r="J24" i="12" s="1"/>
  <c r="K24" i="12" s="1"/>
  <c r="B24" i="12"/>
  <c r="D24" i="12" s="1"/>
  <c r="E24" i="12" s="1"/>
  <c r="H23" i="12"/>
  <c r="J23" i="12" s="1"/>
  <c r="K23" i="12" s="1"/>
  <c r="B23" i="12"/>
  <c r="D23" i="12" s="1"/>
  <c r="E23" i="12" s="1"/>
  <c r="H22" i="12"/>
  <c r="J22" i="12" s="1"/>
  <c r="K22" i="12" s="1"/>
  <c r="B22" i="12"/>
  <c r="D22" i="12" s="1"/>
  <c r="E22" i="12" s="1"/>
  <c r="H21" i="12"/>
  <c r="J21" i="12" s="1"/>
  <c r="K21" i="12" s="1"/>
  <c r="B21" i="12"/>
  <c r="D21" i="12" s="1"/>
  <c r="E21" i="12" s="1"/>
  <c r="H20" i="12"/>
  <c r="J20" i="12" s="1"/>
  <c r="K20" i="12" s="1"/>
  <c r="B20" i="12"/>
  <c r="D20" i="12" s="1"/>
  <c r="E20" i="12" s="1"/>
  <c r="H19" i="12"/>
  <c r="J19" i="12" s="1"/>
  <c r="K19" i="12" s="1"/>
  <c r="B19" i="12"/>
  <c r="D19" i="12" s="1"/>
  <c r="E19" i="12" s="1"/>
  <c r="H18" i="12"/>
  <c r="J18" i="12" s="1"/>
  <c r="K18" i="12" s="1"/>
  <c r="B18" i="12"/>
  <c r="D18" i="12" s="1"/>
  <c r="E18" i="12" s="1"/>
  <c r="H17" i="12"/>
  <c r="J17" i="12" s="1"/>
  <c r="K17" i="12" s="1"/>
  <c r="B17" i="12"/>
  <c r="D17" i="12" s="1"/>
  <c r="E17" i="12" s="1"/>
  <c r="H16" i="12"/>
  <c r="J16" i="12" s="1"/>
  <c r="K16" i="12" s="1"/>
  <c r="B16" i="12"/>
  <c r="D16" i="12" s="1"/>
  <c r="E16" i="12" s="1"/>
  <c r="H12" i="12"/>
  <c r="J12" i="12" s="1"/>
  <c r="K12" i="12" s="1"/>
  <c r="E12" i="12"/>
  <c r="D12" i="12"/>
  <c r="B12" i="12"/>
  <c r="H11" i="12"/>
  <c r="J11" i="12" s="1"/>
  <c r="K11" i="12" s="1"/>
  <c r="E11" i="12"/>
  <c r="D11" i="12"/>
  <c r="B11" i="12"/>
  <c r="H10" i="12"/>
  <c r="J10" i="12" s="1"/>
  <c r="K10" i="12" s="1"/>
  <c r="E10" i="12"/>
  <c r="D10" i="12"/>
  <c r="B10" i="12"/>
  <c r="H9" i="12"/>
  <c r="J9" i="12" s="1"/>
  <c r="K9" i="12" s="1"/>
  <c r="E9" i="12"/>
  <c r="D9" i="12"/>
  <c r="B9" i="12"/>
  <c r="H8" i="12"/>
  <c r="J8" i="12" s="1"/>
  <c r="K8" i="12" s="1"/>
  <c r="E8" i="12"/>
  <c r="D8" i="12"/>
  <c r="B8" i="12"/>
  <c r="H7" i="12"/>
  <c r="J7" i="12" s="1"/>
  <c r="K7" i="12" s="1"/>
  <c r="E7" i="12"/>
  <c r="D7" i="12"/>
  <c r="B7" i="12"/>
  <c r="H6" i="12"/>
  <c r="J6" i="12" s="1"/>
  <c r="K6" i="12" s="1"/>
  <c r="E6" i="12"/>
  <c r="D6" i="12"/>
  <c r="B6" i="12"/>
  <c r="H5" i="12"/>
  <c r="J5" i="12" s="1"/>
  <c r="K5" i="12" s="1"/>
  <c r="E5" i="12"/>
  <c r="D5" i="12"/>
  <c r="B5" i="12"/>
  <c r="H4" i="12"/>
  <c r="J4" i="12" s="1"/>
  <c r="K4" i="12" s="1"/>
  <c r="E4" i="12"/>
  <c r="D4" i="12"/>
  <c r="B4" i="12"/>
  <c r="E36" i="11"/>
  <c r="D36" i="11"/>
  <c r="B36" i="11"/>
  <c r="E35" i="11"/>
  <c r="D35" i="11"/>
  <c r="B35" i="11"/>
  <c r="E34" i="11"/>
  <c r="D34" i="11"/>
  <c r="B34" i="11"/>
  <c r="E33" i="11"/>
  <c r="D33" i="11"/>
  <c r="B33" i="11"/>
  <c r="E32" i="11"/>
  <c r="D32" i="11"/>
  <c r="B32" i="11"/>
  <c r="E31" i="11"/>
  <c r="D31" i="11"/>
  <c r="B31" i="11"/>
  <c r="E30" i="11"/>
  <c r="D30" i="11"/>
  <c r="B30" i="11"/>
  <c r="E29" i="11"/>
  <c r="D29" i="11"/>
  <c r="B29" i="11"/>
  <c r="E28" i="11"/>
  <c r="D28" i="11"/>
  <c r="B28" i="11"/>
  <c r="K24" i="11"/>
  <c r="J24" i="11"/>
  <c r="H24" i="11"/>
  <c r="E24" i="11"/>
  <c r="D24" i="11"/>
  <c r="B24" i="11"/>
  <c r="K23" i="11"/>
  <c r="J23" i="11"/>
  <c r="H23" i="11"/>
  <c r="E23" i="11"/>
  <c r="D23" i="11"/>
  <c r="B23" i="11"/>
  <c r="K22" i="11"/>
  <c r="J22" i="11"/>
  <c r="H22" i="11"/>
  <c r="E22" i="11"/>
  <c r="D22" i="11"/>
  <c r="B22" i="11"/>
  <c r="K21" i="11"/>
  <c r="J21" i="11"/>
  <c r="H21" i="11"/>
  <c r="E21" i="11"/>
  <c r="D21" i="11"/>
  <c r="B21" i="11"/>
  <c r="K20" i="11"/>
  <c r="J20" i="11"/>
  <c r="H20" i="11"/>
  <c r="E20" i="11"/>
  <c r="D20" i="11"/>
  <c r="B20" i="11"/>
  <c r="K19" i="11"/>
  <c r="J19" i="11"/>
  <c r="H19" i="11"/>
  <c r="E19" i="11"/>
  <c r="D19" i="11"/>
  <c r="B19" i="11"/>
  <c r="K18" i="11"/>
  <c r="J18" i="11"/>
  <c r="H18" i="11"/>
  <c r="E18" i="11"/>
  <c r="D18" i="11"/>
  <c r="B18" i="11"/>
  <c r="K17" i="11"/>
  <c r="J17" i="11"/>
  <c r="H17" i="11"/>
  <c r="E17" i="11"/>
  <c r="D17" i="11"/>
  <c r="B17" i="11"/>
  <c r="K16" i="11"/>
  <c r="J16" i="11"/>
  <c r="H16" i="11"/>
  <c r="E16" i="11"/>
  <c r="D16" i="11"/>
  <c r="B16" i="11"/>
  <c r="K12" i="11"/>
  <c r="J12" i="11"/>
  <c r="H12" i="11"/>
  <c r="E12" i="11"/>
  <c r="D12" i="11"/>
  <c r="B12" i="11"/>
  <c r="K11" i="11"/>
  <c r="J11" i="11"/>
  <c r="H11" i="11"/>
  <c r="E11" i="11"/>
  <c r="D11" i="11"/>
  <c r="B11" i="11"/>
  <c r="K10" i="11"/>
  <c r="J10" i="11"/>
  <c r="H10" i="11"/>
  <c r="E10" i="11"/>
  <c r="D10" i="11"/>
  <c r="B10" i="11"/>
  <c r="K9" i="11"/>
  <c r="J9" i="11"/>
  <c r="H9" i="11"/>
  <c r="E9" i="11"/>
  <c r="D9" i="11"/>
  <c r="B9" i="11"/>
  <c r="K8" i="11"/>
  <c r="J8" i="11"/>
  <c r="H8" i="11"/>
  <c r="E8" i="11"/>
  <c r="D8" i="11"/>
  <c r="B8" i="11"/>
  <c r="K7" i="11"/>
  <c r="J7" i="11"/>
  <c r="H7" i="11"/>
  <c r="E7" i="11"/>
  <c r="D7" i="11"/>
  <c r="B7" i="11"/>
  <c r="K6" i="11"/>
  <c r="J6" i="11"/>
  <c r="H6" i="11"/>
  <c r="E6" i="11"/>
  <c r="D6" i="11"/>
  <c r="B6" i="11"/>
  <c r="K5" i="11"/>
  <c r="J5" i="11"/>
  <c r="H5" i="11"/>
  <c r="E5" i="11"/>
  <c r="D5" i="11"/>
  <c r="B5" i="11"/>
  <c r="K4" i="11"/>
  <c r="J4" i="11"/>
  <c r="H4" i="11"/>
  <c r="E4" i="11"/>
  <c r="D4" i="11"/>
  <c r="B4" i="11"/>
  <c r="E36" i="10"/>
  <c r="D36" i="10"/>
  <c r="B36" i="10"/>
  <c r="E35" i="10"/>
  <c r="D35" i="10"/>
  <c r="B35" i="10"/>
  <c r="E34" i="10"/>
  <c r="D34" i="10"/>
  <c r="B34" i="10"/>
  <c r="E33" i="10"/>
  <c r="D33" i="10"/>
  <c r="B33" i="10"/>
  <c r="E32" i="10"/>
  <c r="D32" i="10"/>
  <c r="B32" i="10"/>
  <c r="E31" i="10"/>
  <c r="D31" i="10"/>
  <c r="B31" i="10"/>
  <c r="E30" i="10"/>
  <c r="D30" i="10"/>
  <c r="B30" i="10"/>
  <c r="E29" i="10"/>
  <c r="D29" i="10"/>
  <c r="B29" i="10"/>
  <c r="E28" i="10"/>
  <c r="D28" i="10"/>
  <c r="B28" i="10"/>
  <c r="K24" i="10"/>
  <c r="J24" i="10"/>
  <c r="H24" i="10"/>
  <c r="E24" i="10"/>
  <c r="D24" i="10"/>
  <c r="B24" i="10"/>
  <c r="K23" i="10"/>
  <c r="J23" i="10"/>
  <c r="H23" i="10"/>
  <c r="E23" i="10"/>
  <c r="D23" i="10"/>
  <c r="B23" i="10"/>
  <c r="K22" i="10"/>
  <c r="J22" i="10"/>
  <c r="H22" i="10"/>
  <c r="E22" i="10"/>
  <c r="D22" i="10"/>
  <c r="B22" i="10"/>
  <c r="K21" i="10"/>
  <c r="J21" i="10"/>
  <c r="H21" i="10"/>
  <c r="E21" i="10"/>
  <c r="D21" i="10"/>
  <c r="B21" i="10"/>
  <c r="K20" i="10"/>
  <c r="J20" i="10"/>
  <c r="H20" i="10"/>
  <c r="E20" i="10"/>
  <c r="D20" i="10"/>
  <c r="B20" i="10"/>
  <c r="K19" i="10"/>
  <c r="J19" i="10"/>
  <c r="H19" i="10"/>
  <c r="E19" i="10"/>
  <c r="D19" i="10"/>
  <c r="B19" i="10"/>
  <c r="K18" i="10"/>
  <c r="J18" i="10"/>
  <c r="H18" i="10"/>
  <c r="E18" i="10"/>
  <c r="D18" i="10"/>
  <c r="B18" i="10"/>
  <c r="K17" i="10"/>
  <c r="J17" i="10"/>
  <c r="H17" i="10"/>
  <c r="E17" i="10"/>
  <c r="D17" i="10"/>
  <c r="B17" i="10"/>
  <c r="K16" i="10"/>
  <c r="J16" i="10"/>
  <c r="H16" i="10"/>
  <c r="E16" i="10"/>
  <c r="D16" i="10"/>
  <c r="B16" i="10"/>
  <c r="K12" i="10"/>
  <c r="J12" i="10"/>
  <c r="H12" i="10"/>
  <c r="E12" i="10"/>
  <c r="D12" i="10"/>
  <c r="B12" i="10"/>
  <c r="K11" i="10"/>
  <c r="J11" i="10"/>
  <c r="H11" i="10"/>
  <c r="E11" i="10"/>
  <c r="D11" i="10"/>
  <c r="B11" i="10"/>
  <c r="K10" i="10"/>
  <c r="J10" i="10"/>
  <c r="H10" i="10"/>
  <c r="E10" i="10"/>
  <c r="D10" i="10"/>
  <c r="B10" i="10"/>
  <c r="K9" i="10"/>
  <c r="J9" i="10"/>
  <c r="H9" i="10"/>
  <c r="E9" i="10"/>
  <c r="D9" i="10"/>
  <c r="B9" i="10"/>
  <c r="K8" i="10"/>
  <c r="J8" i="10"/>
  <c r="H8" i="10"/>
  <c r="E8" i="10"/>
  <c r="D8" i="10"/>
  <c r="B8" i="10"/>
  <c r="K7" i="10"/>
  <c r="J7" i="10"/>
  <c r="H7" i="10"/>
  <c r="E7" i="10"/>
  <c r="D7" i="10"/>
  <c r="B7" i="10"/>
  <c r="K6" i="10"/>
  <c r="J6" i="10"/>
  <c r="H6" i="10"/>
  <c r="E6" i="10"/>
  <c r="D6" i="10"/>
  <c r="B6" i="10"/>
  <c r="K5" i="10"/>
  <c r="J5" i="10"/>
  <c r="H5" i="10"/>
  <c r="E5" i="10"/>
  <c r="D5" i="10"/>
  <c r="B5" i="10"/>
  <c r="K4" i="10"/>
  <c r="J4" i="10"/>
  <c r="H4" i="10"/>
  <c r="E4" i="10"/>
  <c r="D4" i="10"/>
  <c r="B4" i="10"/>
  <c r="E36" i="9"/>
  <c r="D36" i="9"/>
  <c r="B36" i="9"/>
  <c r="E35" i="9"/>
  <c r="D35" i="9"/>
  <c r="B35" i="9"/>
  <c r="E34" i="9"/>
  <c r="D34" i="9"/>
  <c r="B34" i="9"/>
  <c r="E33" i="9"/>
  <c r="D33" i="9"/>
  <c r="B33" i="9"/>
  <c r="E32" i="9"/>
  <c r="D32" i="9"/>
  <c r="B32" i="9"/>
  <c r="E31" i="9"/>
  <c r="D31" i="9"/>
  <c r="B31" i="9"/>
  <c r="E30" i="9"/>
  <c r="D30" i="9"/>
  <c r="B30" i="9"/>
  <c r="E29" i="9"/>
  <c r="D29" i="9"/>
  <c r="B29" i="9"/>
  <c r="E28" i="9"/>
  <c r="D28" i="9"/>
  <c r="B28" i="9"/>
  <c r="K24" i="9"/>
  <c r="J24" i="9"/>
  <c r="H24" i="9"/>
  <c r="E24" i="9"/>
  <c r="D24" i="9"/>
  <c r="B24" i="9"/>
  <c r="K23" i="9"/>
  <c r="J23" i="9"/>
  <c r="H23" i="9"/>
  <c r="E23" i="9"/>
  <c r="D23" i="9"/>
  <c r="B23" i="9"/>
  <c r="K22" i="9"/>
  <c r="J22" i="9"/>
  <c r="H22" i="9"/>
  <c r="E22" i="9"/>
  <c r="D22" i="9"/>
  <c r="B22" i="9"/>
  <c r="K21" i="9"/>
  <c r="J21" i="9"/>
  <c r="H21" i="9"/>
  <c r="E21" i="9"/>
  <c r="D21" i="9"/>
  <c r="B21" i="9"/>
  <c r="K20" i="9"/>
  <c r="J20" i="9"/>
  <c r="H20" i="9"/>
  <c r="E20" i="9"/>
  <c r="D20" i="9"/>
  <c r="B20" i="9"/>
  <c r="K19" i="9"/>
  <c r="J19" i="9"/>
  <c r="H19" i="9"/>
  <c r="E19" i="9"/>
  <c r="D19" i="9"/>
  <c r="B19" i="9"/>
  <c r="K18" i="9"/>
  <c r="J18" i="9"/>
  <c r="H18" i="9"/>
  <c r="E18" i="9"/>
  <c r="D18" i="9"/>
  <c r="B18" i="9"/>
  <c r="K17" i="9"/>
  <c r="J17" i="9"/>
  <c r="H17" i="9"/>
  <c r="E17" i="9"/>
  <c r="D17" i="9"/>
  <c r="B17" i="9"/>
  <c r="K16" i="9"/>
  <c r="J16" i="9"/>
  <c r="H16" i="9"/>
  <c r="E16" i="9"/>
  <c r="D16" i="9"/>
  <c r="B16" i="9"/>
  <c r="K12" i="9"/>
  <c r="J12" i="9"/>
  <c r="H12" i="9"/>
  <c r="E12" i="9"/>
  <c r="D12" i="9"/>
  <c r="B12" i="9"/>
  <c r="K11" i="9"/>
  <c r="J11" i="9"/>
  <c r="H11" i="9"/>
  <c r="E11" i="9"/>
  <c r="D11" i="9"/>
  <c r="B11" i="9"/>
  <c r="K10" i="9"/>
  <c r="J10" i="9"/>
  <c r="H10" i="9"/>
  <c r="E10" i="9"/>
  <c r="D10" i="9"/>
  <c r="B10" i="9"/>
  <c r="K9" i="9"/>
  <c r="J9" i="9"/>
  <c r="H9" i="9"/>
  <c r="E9" i="9"/>
  <c r="D9" i="9"/>
  <c r="B9" i="9"/>
  <c r="K8" i="9"/>
  <c r="J8" i="9"/>
  <c r="H8" i="9"/>
  <c r="E8" i="9"/>
  <c r="D8" i="9"/>
  <c r="B8" i="9"/>
  <c r="K7" i="9"/>
  <c r="J7" i="9"/>
  <c r="H7" i="9"/>
  <c r="E7" i="9"/>
  <c r="D7" i="9"/>
  <c r="B7" i="9"/>
  <c r="K6" i="9"/>
  <c r="J6" i="9"/>
  <c r="H6" i="9"/>
  <c r="E6" i="9"/>
  <c r="D6" i="9"/>
  <c r="B6" i="9"/>
  <c r="K5" i="9"/>
  <c r="J5" i="9"/>
  <c r="H5" i="9"/>
  <c r="E5" i="9"/>
  <c r="D5" i="9"/>
  <c r="B5" i="9"/>
  <c r="K4" i="9"/>
  <c r="J4" i="9"/>
  <c r="H4" i="9"/>
  <c r="E4" i="9"/>
  <c r="D4" i="9"/>
  <c r="B4" i="9"/>
  <c r="E36" i="8"/>
  <c r="D36" i="8"/>
  <c r="B36" i="8"/>
  <c r="E35" i="8"/>
  <c r="D35" i="8"/>
  <c r="B35" i="8"/>
  <c r="E34" i="8"/>
  <c r="D34" i="8"/>
  <c r="B34" i="8"/>
  <c r="E33" i="8"/>
  <c r="D33" i="8"/>
  <c r="B33" i="8"/>
  <c r="E32" i="8"/>
  <c r="D32" i="8"/>
  <c r="B32" i="8"/>
  <c r="E31" i="8"/>
  <c r="D31" i="8"/>
  <c r="B31" i="8"/>
  <c r="E30" i="8"/>
  <c r="D30" i="8"/>
  <c r="B30" i="8"/>
  <c r="E29" i="8"/>
  <c r="D29" i="8"/>
  <c r="B29" i="8"/>
  <c r="E28" i="8"/>
  <c r="D28" i="8"/>
  <c r="B28" i="8"/>
  <c r="K24" i="8"/>
  <c r="J24" i="8"/>
  <c r="H24" i="8"/>
  <c r="E24" i="8"/>
  <c r="D24" i="8"/>
  <c r="B24" i="8"/>
  <c r="K23" i="8"/>
  <c r="J23" i="8"/>
  <c r="H23" i="8"/>
  <c r="E23" i="8"/>
  <c r="D23" i="8"/>
  <c r="B23" i="8"/>
  <c r="K22" i="8"/>
  <c r="J22" i="8"/>
  <c r="H22" i="8"/>
  <c r="E22" i="8"/>
  <c r="D22" i="8"/>
  <c r="B22" i="8"/>
  <c r="K21" i="8"/>
  <c r="J21" i="8"/>
  <c r="H21" i="8"/>
  <c r="E21" i="8"/>
  <c r="D21" i="8"/>
  <c r="B21" i="8"/>
  <c r="K20" i="8"/>
  <c r="J20" i="8"/>
  <c r="H20" i="8"/>
  <c r="E20" i="8"/>
  <c r="D20" i="8"/>
  <c r="B20" i="8"/>
  <c r="K19" i="8"/>
  <c r="J19" i="8"/>
  <c r="H19" i="8"/>
  <c r="E19" i="8"/>
  <c r="D19" i="8"/>
  <c r="B19" i="8"/>
  <c r="K18" i="8"/>
  <c r="J18" i="8"/>
  <c r="H18" i="8"/>
  <c r="E18" i="8"/>
  <c r="D18" i="8"/>
  <c r="B18" i="8"/>
  <c r="K17" i="8"/>
  <c r="J17" i="8"/>
  <c r="H17" i="8"/>
  <c r="E17" i="8"/>
  <c r="D17" i="8"/>
  <c r="B17" i="8"/>
  <c r="K16" i="8"/>
  <c r="J16" i="8"/>
  <c r="H16" i="8"/>
  <c r="E16" i="8"/>
  <c r="D16" i="8"/>
  <c r="B16" i="8"/>
  <c r="K12" i="8"/>
  <c r="J12" i="8"/>
  <c r="H12" i="8"/>
  <c r="E12" i="8"/>
  <c r="D12" i="8"/>
  <c r="B12" i="8"/>
  <c r="K11" i="8"/>
  <c r="J11" i="8"/>
  <c r="H11" i="8"/>
  <c r="E11" i="8"/>
  <c r="D11" i="8"/>
  <c r="B11" i="8"/>
  <c r="K10" i="8"/>
  <c r="J10" i="8"/>
  <c r="H10" i="8"/>
  <c r="E10" i="8"/>
  <c r="D10" i="8"/>
  <c r="B10" i="8"/>
  <c r="K9" i="8"/>
  <c r="J9" i="8"/>
  <c r="H9" i="8"/>
  <c r="E9" i="8"/>
  <c r="D9" i="8"/>
  <c r="B9" i="8"/>
  <c r="K8" i="8"/>
  <c r="J8" i="8"/>
  <c r="H8" i="8"/>
  <c r="E8" i="8"/>
  <c r="D8" i="8"/>
  <c r="B8" i="8"/>
  <c r="K7" i="8"/>
  <c r="J7" i="8"/>
  <c r="H7" i="8"/>
  <c r="E7" i="8"/>
  <c r="D7" i="8"/>
  <c r="B7" i="8"/>
  <c r="K6" i="8"/>
  <c r="J6" i="8"/>
  <c r="H6" i="8"/>
  <c r="E6" i="8"/>
  <c r="D6" i="8"/>
  <c r="B6" i="8"/>
  <c r="K5" i="8"/>
  <c r="J5" i="8"/>
  <c r="H5" i="8"/>
  <c r="E5" i="8"/>
  <c r="D5" i="8"/>
  <c r="B5" i="8"/>
  <c r="K4" i="8"/>
  <c r="J4" i="8"/>
  <c r="H4" i="8"/>
  <c r="E4" i="8"/>
  <c r="D4" i="8"/>
  <c r="B4" i="8"/>
  <c r="E36" i="7"/>
  <c r="D36" i="7"/>
  <c r="B36" i="7"/>
  <c r="E35" i="7"/>
  <c r="D35" i="7"/>
  <c r="B35" i="7"/>
  <c r="E34" i="7"/>
  <c r="D34" i="7"/>
  <c r="B34" i="7"/>
  <c r="E33" i="7"/>
  <c r="D33" i="7"/>
  <c r="B33" i="7"/>
  <c r="E32" i="7"/>
  <c r="D32" i="7"/>
  <c r="B32" i="7"/>
  <c r="E31" i="7"/>
  <c r="D31" i="7"/>
  <c r="B31" i="7"/>
  <c r="E30" i="7"/>
  <c r="D30" i="7"/>
  <c r="B30" i="7"/>
  <c r="E29" i="7"/>
  <c r="D29" i="7"/>
  <c r="B29" i="7"/>
  <c r="E28" i="7"/>
  <c r="D28" i="7"/>
  <c r="B28" i="7"/>
  <c r="K24" i="7"/>
  <c r="J24" i="7"/>
  <c r="H24" i="7"/>
  <c r="E24" i="7"/>
  <c r="D24" i="7"/>
  <c r="B24" i="7"/>
  <c r="K23" i="7"/>
  <c r="J23" i="7"/>
  <c r="H23" i="7"/>
  <c r="E23" i="7"/>
  <c r="D23" i="7"/>
  <c r="B23" i="7"/>
  <c r="K22" i="7"/>
  <c r="J22" i="7"/>
  <c r="H22" i="7"/>
  <c r="E22" i="7"/>
  <c r="D22" i="7"/>
  <c r="B22" i="7"/>
  <c r="K21" i="7"/>
  <c r="J21" i="7"/>
  <c r="H21" i="7"/>
  <c r="E21" i="7"/>
  <c r="D21" i="7"/>
  <c r="B21" i="7"/>
  <c r="K20" i="7"/>
  <c r="J20" i="7"/>
  <c r="H20" i="7"/>
  <c r="E20" i="7"/>
  <c r="D20" i="7"/>
  <c r="B20" i="7"/>
  <c r="K19" i="7"/>
  <c r="J19" i="7"/>
  <c r="H19" i="7"/>
  <c r="E19" i="7"/>
  <c r="D19" i="7"/>
  <c r="B19" i="7"/>
  <c r="K18" i="7"/>
  <c r="J18" i="7"/>
  <c r="H18" i="7"/>
  <c r="E18" i="7"/>
  <c r="D18" i="7"/>
  <c r="B18" i="7"/>
  <c r="K17" i="7"/>
  <c r="J17" i="7"/>
  <c r="H17" i="7"/>
  <c r="E17" i="7"/>
  <c r="D17" i="7"/>
  <c r="B17" i="7"/>
  <c r="K16" i="7"/>
  <c r="J16" i="7"/>
  <c r="H16" i="7"/>
  <c r="E16" i="7"/>
  <c r="D16" i="7"/>
  <c r="B16" i="7"/>
  <c r="K12" i="7"/>
  <c r="J12" i="7"/>
  <c r="H12" i="7"/>
  <c r="E12" i="7"/>
  <c r="D12" i="7"/>
  <c r="B12" i="7"/>
  <c r="K11" i="7"/>
  <c r="J11" i="7"/>
  <c r="H11" i="7"/>
  <c r="E11" i="7"/>
  <c r="D11" i="7"/>
  <c r="B11" i="7"/>
  <c r="K10" i="7"/>
  <c r="J10" i="7"/>
  <c r="H10" i="7"/>
  <c r="E10" i="7"/>
  <c r="D10" i="7"/>
  <c r="B10" i="7"/>
  <c r="K9" i="7"/>
  <c r="J9" i="7"/>
  <c r="H9" i="7"/>
  <c r="E9" i="7"/>
  <c r="D9" i="7"/>
  <c r="B9" i="7"/>
  <c r="K8" i="7"/>
  <c r="J8" i="7"/>
  <c r="H8" i="7"/>
  <c r="E8" i="7"/>
  <c r="D8" i="7"/>
  <c r="B8" i="7"/>
  <c r="K7" i="7"/>
  <c r="J7" i="7"/>
  <c r="H7" i="7"/>
  <c r="E7" i="7"/>
  <c r="D7" i="7"/>
  <c r="B7" i="7"/>
  <c r="K6" i="7"/>
  <c r="J6" i="7"/>
  <c r="H6" i="7"/>
  <c r="E6" i="7"/>
  <c r="D6" i="7"/>
  <c r="B6" i="7"/>
  <c r="K5" i="7"/>
  <c r="J5" i="7"/>
  <c r="H5" i="7"/>
  <c r="E5" i="7"/>
  <c r="D5" i="7"/>
  <c r="B5" i="7"/>
  <c r="K4" i="7"/>
  <c r="J4" i="7"/>
  <c r="H4" i="7"/>
  <c r="E4" i="7"/>
  <c r="D4" i="7"/>
  <c r="B4" i="7"/>
  <c r="E36" i="6"/>
  <c r="D36" i="6"/>
  <c r="B36" i="6"/>
  <c r="E35" i="6"/>
  <c r="D35" i="6"/>
  <c r="B35" i="6"/>
  <c r="E34" i="6"/>
  <c r="D34" i="6"/>
  <c r="B34" i="6"/>
  <c r="E33" i="6"/>
  <c r="D33" i="6"/>
  <c r="B33" i="6"/>
  <c r="E32" i="6"/>
  <c r="D32" i="6"/>
  <c r="B32" i="6"/>
  <c r="E31" i="6"/>
  <c r="D31" i="6"/>
  <c r="B31" i="6"/>
  <c r="E30" i="6"/>
  <c r="D30" i="6"/>
  <c r="B30" i="6"/>
  <c r="E29" i="6"/>
  <c r="D29" i="6"/>
  <c r="B29" i="6"/>
  <c r="E28" i="6"/>
  <c r="D28" i="6"/>
  <c r="B28" i="6"/>
  <c r="K24" i="6"/>
  <c r="J24" i="6"/>
  <c r="H24" i="6"/>
  <c r="E24" i="6"/>
  <c r="D24" i="6"/>
  <c r="B24" i="6"/>
  <c r="K23" i="6"/>
  <c r="J23" i="6"/>
  <c r="H23" i="6"/>
  <c r="E23" i="6"/>
  <c r="D23" i="6"/>
  <c r="B23" i="6"/>
  <c r="K22" i="6"/>
  <c r="J22" i="6"/>
  <c r="H22" i="6"/>
  <c r="E22" i="6"/>
  <c r="D22" i="6"/>
  <c r="B22" i="6"/>
  <c r="K21" i="6"/>
  <c r="J21" i="6"/>
  <c r="H21" i="6"/>
  <c r="E21" i="6"/>
  <c r="D21" i="6"/>
  <c r="B21" i="6"/>
  <c r="K20" i="6"/>
  <c r="J20" i="6"/>
  <c r="H20" i="6"/>
  <c r="E20" i="6"/>
  <c r="D20" i="6"/>
  <c r="B20" i="6"/>
  <c r="K19" i="6"/>
  <c r="J19" i="6"/>
  <c r="H19" i="6"/>
  <c r="E19" i="6"/>
  <c r="D19" i="6"/>
  <c r="B19" i="6"/>
  <c r="K18" i="6"/>
  <c r="J18" i="6"/>
  <c r="H18" i="6"/>
  <c r="E18" i="6"/>
  <c r="D18" i="6"/>
  <c r="B18" i="6"/>
  <c r="K17" i="6"/>
  <c r="J17" i="6"/>
  <c r="H17" i="6"/>
  <c r="E17" i="6"/>
  <c r="D17" i="6"/>
  <c r="B17" i="6"/>
  <c r="K16" i="6"/>
  <c r="J16" i="6"/>
  <c r="H16" i="6"/>
  <c r="E16" i="6"/>
  <c r="D16" i="6"/>
  <c r="B16" i="6"/>
  <c r="K12" i="6"/>
  <c r="J12" i="6"/>
  <c r="H12" i="6"/>
  <c r="E12" i="6"/>
  <c r="D12" i="6"/>
  <c r="B12" i="6"/>
  <c r="K11" i="6"/>
  <c r="J11" i="6"/>
  <c r="H11" i="6"/>
  <c r="E11" i="6"/>
  <c r="D11" i="6"/>
  <c r="B11" i="6"/>
  <c r="K10" i="6"/>
  <c r="J10" i="6"/>
  <c r="H10" i="6"/>
  <c r="E10" i="6"/>
  <c r="D10" i="6"/>
  <c r="B10" i="6"/>
  <c r="K9" i="6"/>
  <c r="J9" i="6"/>
  <c r="H9" i="6"/>
  <c r="E9" i="6"/>
  <c r="D9" i="6"/>
  <c r="B9" i="6"/>
  <c r="K8" i="6"/>
  <c r="J8" i="6"/>
  <c r="H8" i="6"/>
  <c r="E8" i="6"/>
  <c r="D8" i="6"/>
  <c r="B8" i="6"/>
  <c r="K7" i="6"/>
  <c r="J7" i="6"/>
  <c r="H7" i="6"/>
  <c r="E7" i="6"/>
  <c r="D7" i="6"/>
  <c r="B7" i="6"/>
  <c r="K6" i="6"/>
  <c r="J6" i="6"/>
  <c r="H6" i="6"/>
  <c r="E6" i="6"/>
  <c r="D6" i="6"/>
  <c r="B6" i="6"/>
  <c r="K5" i="6"/>
  <c r="J5" i="6"/>
  <c r="H5" i="6"/>
  <c r="E5" i="6"/>
  <c r="D5" i="6"/>
  <c r="B5" i="6"/>
  <c r="K4" i="6"/>
  <c r="J4" i="6"/>
  <c r="H4" i="6"/>
  <c r="E4" i="6"/>
  <c r="D4" i="6"/>
  <c r="B4" i="6"/>
  <c r="E36" i="5"/>
  <c r="D36" i="5"/>
  <c r="B36" i="5"/>
  <c r="E35" i="5"/>
  <c r="D35" i="5"/>
  <c r="B35" i="5"/>
  <c r="E34" i="5"/>
  <c r="D34" i="5"/>
  <c r="B34" i="5"/>
  <c r="E33" i="5"/>
  <c r="D33" i="5"/>
  <c r="B33" i="5"/>
  <c r="E32" i="5"/>
  <c r="D32" i="5"/>
  <c r="B32" i="5"/>
  <c r="E31" i="5"/>
  <c r="D31" i="5"/>
  <c r="B31" i="5"/>
  <c r="E30" i="5"/>
  <c r="D30" i="5"/>
  <c r="B30" i="5"/>
  <c r="E29" i="5"/>
  <c r="D29" i="5"/>
  <c r="B29" i="5"/>
  <c r="E28" i="5"/>
  <c r="D28" i="5"/>
  <c r="B28" i="5"/>
  <c r="K24" i="5"/>
  <c r="J24" i="5"/>
  <c r="H24" i="5"/>
  <c r="E24" i="5"/>
  <c r="D24" i="5"/>
  <c r="B24" i="5"/>
  <c r="K23" i="5"/>
  <c r="J23" i="5"/>
  <c r="H23" i="5"/>
  <c r="E23" i="5"/>
  <c r="D23" i="5"/>
  <c r="B23" i="5"/>
  <c r="K22" i="5"/>
  <c r="J22" i="5"/>
  <c r="H22" i="5"/>
  <c r="E22" i="5"/>
  <c r="D22" i="5"/>
  <c r="B22" i="5"/>
  <c r="K21" i="5"/>
  <c r="J21" i="5"/>
  <c r="H21" i="5"/>
  <c r="E21" i="5"/>
  <c r="D21" i="5"/>
  <c r="B21" i="5"/>
  <c r="K20" i="5"/>
  <c r="J20" i="5"/>
  <c r="H20" i="5"/>
  <c r="E20" i="5"/>
  <c r="D20" i="5"/>
  <c r="B20" i="5"/>
  <c r="K19" i="5"/>
  <c r="J19" i="5"/>
  <c r="H19" i="5"/>
  <c r="E19" i="5"/>
  <c r="D19" i="5"/>
  <c r="B19" i="5"/>
  <c r="K18" i="5"/>
  <c r="J18" i="5"/>
  <c r="H18" i="5"/>
  <c r="E18" i="5"/>
  <c r="D18" i="5"/>
  <c r="B18" i="5"/>
  <c r="K17" i="5"/>
  <c r="J17" i="5"/>
  <c r="H17" i="5"/>
  <c r="E17" i="5"/>
  <c r="D17" i="5"/>
  <c r="B17" i="5"/>
  <c r="K16" i="5"/>
  <c r="J16" i="5"/>
  <c r="H16" i="5"/>
  <c r="E16" i="5"/>
  <c r="D16" i="5"/>
  <c r="B16" i="5"/>
  <c r="K12" i="5"/>
  <c r="J12" i="5"/>
  <c r="H12" i="5"/>
  <c r="E12" i="5"/>
  <c r="D12" i="5"/>
  <c r="B12" i="5"/>
  <c r="K11" i="5"/>
  <c r="J11" i="5"/>
  <c r="H11" i="5"/>
  <c r="E11" i="5"/>
  <c r="D11" i="5"/>
  <c r="B11" i="5"/>
  <c r="K10" i="5"/>
  <c r="J10" i="5"/>
  <c r="H10" i="5"/>
  <c r="E10" i="5"/>
  <c r="D10" i="5"/>
  <c r="B10" i="5"/>
  <c r="K9" i="5"/>
  <c r="J9" i="5"/>
  <c r="H9" i="5"/>
  <c r="E9" i="5"/>
  <c r="D9" i="5"/>
  <c r="B9" i="5"/>
  <c r="K8" i="5"/>
  <c r="J8" i="5"/>
  <c r="H8" i="5"/>
  <c r="E8" i="5"/>
  <c r="D8" i="5"/>
  <c r="B8" i="5"/>
  <c r="K7" i="5"/>
  <c r="J7" i="5"/>
  <c r="H7" i="5"/>
  <c r="E7" i="5"/>
  <c r="D7" i="5"/>
  <c r="B7" i="5"/>
  <c r="K6" i="5"/>
  <c r="J6" i="5"/>
  <c r="H6" i="5"/>
  <c r="E6" i="5"/>
  <c r="D6" i="5"/>
  <c r="B6" i="5"/>
  <c r="K5" i="5"/>
  <c r="J5" i="5"/>
  <c r="H5" i="5"/>
  <c r="E5" i="5"/>
  <c r="D5" i="5"/>
  <c r="B5" i="5"/>
  <c r="K4" i="5"/>
  <c r="J4" i="5"/>
  <c r="H4" i="5"/>
  <c r="E4" i="5"/>
  <c r="D4" i="5"/>
  <c r="B4" i="5"/>
  <c r="B36" i="4"/>
  <c r="D36" i="4" s="1"/>
  <c r="E36" i="4" s="1"/>
  <c r="B35" i="4"/>
  <c r="D35" i="4" s="1"/>
  <c r="E35" i="4" s="1"/>
  <c r="B34" i="4"/>
  <c r="D34" i="4" s="1"/>
  <c r="E34" i="4" s="1"/>
  <c r="B33" i="4"/>
  <c r="D33" i="4" s="1"/>
  <c r="E33" i="4" s="1"/>
  <c r="D32" i="4"/>
  <c r="E32" i="4" s="1"/>
  <c r="B32" i="4"/>
  <c r="D31" i="4"/>
  <c r="E31" i="4" s="1"/>
  <c r="B31" i="4"/>
  <c r="D30" i="4"/>
  <c r="E30" i="4" s="1"/>
  <c r="B30" i="4"/>
  <c r="B29" i="4"/>
  <c r="D29" i="4" s="1"/>
  <c r="E29" i="4" s="1"/>
  <c r="B28" i="4"/>
  <c r="D28" i="4" s="1"/>
  <c r="E28" i="4" s="1"/>
  <c r="H24" i="4"/>
  <c r="J24" i="4" s="1"/>
  <c r="K24" i="4" s="1"/>
  <c r="B24" i="4"/>
  <c r="D24" i="4" s="1"/>
  <c r="E24" i="4" s="1"/>
  <c r="H23" i="4"/>
  <c r="J23" i="4" s="1"/>
  <c r="K23" i="4" s="1"/>
  <c r="D23" i="4"/>
  <c r="E23" i="4" s="1"/>
  <c r="B23" i="4"/>
  <c r="J22" i="4"/>
  <c r="K22" i="4" s="1"/>
  <c r="H22" i="4"/>
  <c r="D22" i="4"/>
  <c r="E22" i="4" s="1"/>
  <c r="B22" i="4"/>
  <c r="H21" i="4"/>
  <c r="J21" i="4" s="1"/>
  <c r="K21" i="4" s="1"/>
  <c r="B21" i="4"/>
  <c r="D21" i="4" s="1"/>
  <c r="E21" i="4" s="1"/>
  <c r="H20" i="4"/>
  <c r="J20" i="4" s="1"/>
  <c r="K20" i="4" s="1"/>
  <c r="B20" i="4"/>
  <c r="D20" i="4" s="1"/>
  <c r="E20" i="4" s="1"/>
  <c r="H19" i="4"/>
  <c r="J19" i="4" s="1"/>
  <c r="K19" i="4" s="1"/>
  <c r="D19" i="4"/>
  <c r="E19" i="4" s="1"/>
  <c r="B19" i="4"/>
  <c r="J18" i="4"/>
  <c r="K18" i="4" s="1"/>
  <c r="H18" i="4"/>
  <c r="D18" i="4"/>
  <c r="E18" i="4" s="1"/>
  <c r="B18" i="4"/>
  <c r="H17" i="4"/>
  <c r="J17" i="4" s="1"/>
  <c r="K17" i="4" s="1"/>
  <c r="B17" i="4"/>
  <c r="D17" i="4" s="1"/>
  <c r="E17" i="4" s="1"/>
  <c r="H16" i="4"/>
  <c r="J16" i="4" s="1"/>
  <c r="K16" i="4" s="1"/>
  <c r="B16" i="4"/>
  <c r="D16" i="4" s="1"/>
  <c r="E16" i="4" s="1"/>
  <c r="H12" i="4"/>
  <c r="J12" i="4" s="1"/>
  <c r="K12" i="4" s="1"/>
  <c r="D12" i="4"/>
  <c r="E12" i="4" s="1"/>
  <c r="B12" i="4"/>
  <c r="J11" i="4"/>
  <c r="K11" i="4" s="1"/>
  <c r="H11" i="4"/>
  <c r="D11" i="4"/>
  <c r="E11" i="4" s="1"/>
  <c r="B11" i="4"/>
  <c r="H10" i="4"/>
  <c r="J10" i="4" s="1"/>
  <c r="K10" i="4" s="1"/>
  <c r="B10" i="4"/>
  <c r="D10" i="4" s="1"/>
  <c r="E10" i="4" s="1"/>
  <c r="H9" i="4"/>
  <c r="J9" i="4" s="1"/>
  <c r="K9" i="4" s="1"/>
  <c r="B9" i="4"/>
  <c r="D9" i="4" s="1"/>
  <c r="E9" i="4" s="1"/>
  <c r="H8" i="4"/>
  <c r="J8" i="4" s="1"/>
  <c r="K8" i="4" s="1"/>
  <c r="D8" i="4"/>
  <c r="E8" i="4" s="1"/>
  <c r="B8" i="4"/>
  <c r="J7" i="4"/>
  <c r="K7" i="4" s="1"/>
  <c r="H7" i="4"/>
  <c r="D7" i="4"/>
  <c r="E7" i="4" s="1"/>
  <c r="B7" i="4"/>
  <c r="H6" i="4"/>
  <c r="J6" i="4" s="1"/>
  <c r="K6" i="4" s="1"/>
  <c r="B6" i="4"/>
  <c r="D6" i="4" s="1"/>
  <c r="E6" i="4" s="1"/>
  <c r="H5" i="4"/>
  <c r="J5" i="4" s="1"/>
  <c r="K5" i="4" s="1"/>
  <c r="B5" i="4"/>
  <c r="D5" i="4" s="1"/>
  <c r="E5" i="4" s="1"/>
  <c r="H4" i="4"/>
  <c r="J4" i="4" s="1"/>
  <c r="K4" i="4" s="1"/>
  <c r="D4" i="4"/>
  <c r="E4" i="4" s="1"/>
  <c r="B4" i="4"/>
  <c r="CC17" i="15" l="1"/>
  <c r="CG9" i="15"/>
  <c r="CC22" i="15"/>
  <c r="CC23" i="15"/>
  <c r="CG3" i="15"/>
  <c r="CG2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Daniel Navarro</author>
  </authors>
  <commentList>
    <comment ref="A1" authorId="0" shapeId="0" xr:uid="{6376C0A7-B9A8-4071-9E5B-2DB19B3224B8}">
      <text>
        <r>
          <rPr>
            <b/>
            <sz val="9"/>
            <color indexed="81"/>
            <rFont val="Segoe UI"/>
            <family val="2"/>
          </rPr>
          <t>Daniel Navarro:</t>
        </r>
        <r>
          <rPr>
            <sz val="9"/>
            <color indexed="81"/>
            <rFont val="Segoe UI"/>
            <family val="2"/>
          </rPr>
          <t xml:space="preserve">
Escolha, abaixo nos botões, o mês de referência que deseja visualizar.</t>
        </r>
      </text>
    </comment>
  </commentList>
</comments>
</file>

<file path=xl/sharedStrings.xml><?xml version="1.0" encoding="utf-8"?>
<sst xmlns="http://schemas.openxmlformats.org/spreadsheetml/2006/main" count="957" uniqueCount="45">
  <si>
    <t>Nome</t>
  </si>
  <si>
    <t>Pontuação</t>
  </si>
  <si>
    <t>Junior</t>
  </si>
  <si>
    <t>Meta</t>
  </si>
  <si>
    <t>Modalidade</t>
  </si>
  <si>
    <t>Pleno</t>
  </si>
  <si>
    <t>Estagiário</t>
  </si>
  <si>
    <t>Senior</t>
  </si>
  <si>
    <t>Luiz Dias</t>
  </si>
  <si>
    <t>%</t>
  </si>
  <si>
    <t>Profissional</t>
  </si>
  <si>
    <t>Categoria</t>
  </si>
  <si>
    <t>Planilha de Produção - 2021</t>
  </si>
  <si>
    <t>Juliana</t>
  </si>
  <si>
    <t>Jeane</t>
  </si>
  <si>
    <t>Raquel</t>
  </si>
  <si>
    <t>Talita</t>
  </si>
  <si>
    <t>Andressa Gomes</t>
  </si>
  <si>
    <t>Andressa Cordeiro</t>
  </si>
  <si>
    <t>Edu</t>
  </si>
  <si>
    <t>Gabriel</t>
  </si>
  <si>
    <t>Especialista</t>
  </si>
  <si>
    <t>Sprint 1</t>
  </si>
  <si>
    <t>Sprint 2</t>
  </si>
  <si>
    <t>Sprint 3</t>
  </si>
  <si>
    <t>Sprint 4</t>
  </si>
  <si>
    <t>Sprint 5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</si>
  <si>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</si>
  <si>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</si>
  <si>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</si>
  <si>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</si>
  <si>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</si>
  <si>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</si>
  <si>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</si>
  <si>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</si>
  <si>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DEZEMBRO</t>
  </si>
  <si>
    <t>JANEIRO</t>
  </si>
  <si>
    <t>OUTUBRO</t>
  </si>
  <si>
    <t>NOVEMBRO</t>
  </si>
  <si>
    <t>Total Geral</t>
  </si>
  <si>
    <t>Trim 1</t>
  </si>
  <si>
    <t>Trim 2</t>
  </si>
  <si>
    <t>Trim 3</t>
  </si>
  <si>
    <t>Trim 4</t>
  </si>
  <si>
    <t>Total Anual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</si>
</sst>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C00000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theme="9" tint="0.79998168889431442"/>
      <name val="Arial Black"/>
      <family val="2"/>
    </font>
    <font>
      <sz val="11"/>
      <color rgb="FF006100"/>
      <name val="Calibri"/>
      <family val="2"/>
      <scheme val="minor"/>
    </font>
    <font>
      <sz val="8"/>
      <color rgb="FF000000"/>
      <name val="Segoe UI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A5A5A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6EFCE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6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4" borderId="2" applyNumberFormat="0" applyAlignment="0" applyProtection="0"/>
    <xf numFmtId="0" fontId="1" fillId="5" borderId="0" applyNumberFormat="0" applyBorder="0" applyAlignment="0" applyProtection="0"/>
    <xf numFmtId="0" fontId="8" fillId="7" borderId="0" applyNumberFormat="0" applyBorder="0" applyAlignment="0" applyProtection="0"/>
  </cellStyleXfs>
  <cellXfs count="22">
    <xf numFmtId="0" fontId="0" fillId="0" borderId="0" xfId="0"/>
    <xf numFmtId="10" fontId="0" fillId="0" borderId="0" xfId="0" applyNumberFormat="1"/>
    <xf numFmtId="0" fontId="0" fillId="0" borderId="1" xfId="0" applyBorder="1"/>
    <xf numFmtId="0" fontId="2" fillId="4" borderId="2" xfId="3"/>
    <xf numFmtId="0" fontId="3" fillId="2" borderId="3" xfId="1" applyFont="1" applyBorder="1" applyAlignment="1">
      <alignment horizontal="center"/>
    </xf>
    <xf numFmtId="0" fontId="3" fillId="2" borderId="4" xfId="1" applyFont="1" applyBorder="1"/>
    <xf numFmtId="0" fontId="3" fillId="2" borderId="5" xfId="1" applyFont="1" applyBorder="1" applyAlignment="1">
      <alignment horizontal="center"/>
    </xf>
    <xf numFmtId="0" fontId="0" fillId="0" borderId="6" xfId="0" applyBorder="1"/>
    <xf numFmtId="10" fontId="0" fillId="0" borderId="7" xfId="0" applyNumberFormat="1" applyBorder="1"/>
    <xf numFmtId="0" fontId="0" fillId="0" borderId="8" xfId="0" applyBorder="1"/>
    <xf numFmtId="0" fontId="0" fillId="0" borderId="9" xfId="0" applyBorder="1"/>
    <xf numFmtId="10" fontId="0" fillId="0" borderId="10" xfId="0" applyNumberFormat="1" applyBorder="1"/>
    <xf numFmtId="0" fontId="3" fillId="2" borderId="1" xfId="1" applyFont="1" applyBorder="1" applyAlignment="1">
      <alignment horizontal="center"/>
    </xf>
    <xf numFmtId="0" fontId="3" fillId="2" borderId="6" xfId="1" applyFont="1" applyBorder="1"/>
    <xf numFmtId="0" fontId="3" fillId="2" borderId="7" xfId="1" applyFont="1" applyBorder="1" applyAlignment="1">
      <alignment horizontal="center"/>
    </xf>
    <xf numFmtId="0" fontId="8" fillId="7" borderId="0" xfId="5"/>
    <xf numFmtId="0" fontId="4" fillId="6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3" fillId="3" borderId="11" xfId="2" applyFont="1" applyBorder="1" applyAlignment="1">
      <alignment horizontal="center"/>
    </xf>
    <xf numFmtId="0" fontId="3" fillId="3" borderId="12" xfId="2" applyFont="1" applyBorder="1" applyAlignment="1">
      <alignment horizontal="center"/>
    </xf>
    <xf numFmtId="0" fontId="3" fillId="3" borderId="13" xfId="2" applyFont="1" applyBorder="1" applyAlignment="1">
      <alignment horizontal="center"/>
    </xf>
    <xf numFmtId="17" fontId="7" fillId="5" borderId="0" xfId="4" applyNumberFormat="1" applyFont="1" applyAlignment="1">
      <alignment horizontal="center"/>
    </xf>
  </cellXfs>
  <cellStyles count="6">
    <cellStyle name="20% - Ênfase1" xfId="1" builtinId="30"/>
    <cellStyle name="40% - Ênfase1" xfId="2" builtinId="31"/>
    <cellStyle name="60% - Ênfase1" xfId="4" builtinId="32"/>
    <cellStyle name="Bom" xfId="5" builtinId="26"/>
    <cellStyle name="Célula de Verificação" xfId="3" builtinId="2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Gráficos!$CB$2</c:f>
              <c:strCache>
                <c:ptCount val="1"/>
                <c:pt idx="0">
                  <c:v>Luiz Dias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Gráficos!$CC$1:$CG$1</c15:sqref>
                  </c15:fullRef>
                </c:ext>
              </c:extLst>
              <c:f>Gráficos!$CC$1:$CF$1</c:f>
              <c:strCache>
                <c:ptCount val="4"/>
                <c:pt idx="0">
                  <c:v>Trim 1</c:v>
                </c:pt>
                <c:pt idx="1">
                  <c:v>Trim 2</c:v>
                </c:pt>
                <c:pt idx="2">
                  <c:v>Trim 3</c:v>
                </c:pt>
                <c:pt idx="3">
                  <c:v>Trim 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Gráficos!$CC$2:$CG$2</c15:sqref>
                  </c15:fullRef>
                </c:ext>
              </c:extLst>
              <c:f>Gráficos!$CC$2:$CF$2</c:f>
              <c:numCache>
                <c:formatCode>General</c:formatCode>
                <c:ptCount val="4"/>
                <c:pt idx="0">
                  <c:v>45</c:v>
                </c:pt>
                <c:pt idx="1">
                  <c:v>45</c:v>
                </c:pt>
                <c:pt idx="2">
                  <c:v>45</c:v>
                </c:pt>
                <c:pt idx="3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A7-4D3C-BA62-20289E6E86F7}"/>
            </c:ext>
          </c:extLst>
        </c:ser>
        <c:ser>
          <c:idx val="1"/>
          <c:order val="1"/>
          <c:tx>
            <c:strRef>
              <c:f>Gráficos!$CB$3</c:f>
              <c:strCache>
                <c:ptCount val="1"/>
                <c:pt idx="0">
                  <c:v>Juliana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Gráficos!$CC$1:$CG$1</c15:sqref>
                  </c15:fullRef>
                </c:ext>
              </c:extLst>
              <c:f>Gráficos!$CC$1:$CF$1</c:f>
              <c:strCache>
                <c:ptCount val="4"/>
                <c:pt idx="0">
                  <c:v>Trim 1</c:v>
                </c:pt>
                <c:pt idx="1">
                  <c:v>Trim 2</c:v>
                </c:pt>
                <c:pt idx="2">
                  <c:v>Trim 3</c:v>
                </c:pt>
                <c:pt idx="3">
                  <c:v>Trim 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Gráficos!$CC$3:$CG$3</c15:sqref>
                  </c15:fullRef>
                </c:ext>
              </c:extLst>
              <c:f>Gráficos!$CC$3:$CF$3</c:f>
              <c:numCache>
                <c:formatCode>General</c:formatCode>
                <c:ptCount val="4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A7-4D3C-BA62-20289E6E86F7}"/>
            </c:ext>
          </c:extLst>
        </c:ser>
        <c:ser>
          <c:idx val="2"/>
          <c:order val="2"/>
          <c:tx>
            <c:strRef>
              <c:f>Gráficos!$CB$4</c:f>
              <c:strCache>
                <c:ptCount val="1"/>
                <c:pt idx="0">
                  <c:v>Jeane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Gráficos!$CC$1:$CG$1</c15:sqref>
                  </c15:fullRef>
                </c:ext>
              </c:extLst>
              <c:f>Gráficos!$CC$1:$CF$1</c:f>
              <c:strCache>
                <c:ptCount val="4"/>
                <c:pt idx="0">
                  <c:v>Trim 1</c:v>
                </c:pt>
                <c:pt idx="1">
                  <c:v>Trim 2</c:v>
                </c:pt>
                <c:pt idx="2">
                  <c:v>Trim 3</c:v>
                </c:pt>
                <c:pt idx="3">
                  <c:v>Trim 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Gráficos!$CC$4:$CG$4</c15:sqref>
                  </c15:fullRef>
                </c:ext>
              </c:extLst>
              <c:f>Gráficos!$CC$4:$CF$4</c:f>
              <c:numCache>
                <c:formatCode>General</c:formatCode>
                <c:ptCount val="4"/>
                <c:pt idx="0">
                  <c:v>81</c:v>
                </c:pt>
                <c:pt idx="1">
                  <c:v>81</c:v>
                </c:pt>
                <c:pt idx="2">
                  <c:v>81</c:v>
                </c:pt>
                <c:pt idx="3">
                  <c:v>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FA7-4D3C-BA62-20289E6E86F7}"/>
            </c:ext>
          </c:extLst>
        </c:ser>
        <c:ser>
          <c:idx val="3"/>
          <c:order val="3"/>
          <c:tx>
            <c:strRef>
              <c:f>Gráficos!$CB$5</c:f>
              <c:strCache>
                <c:ptCount val="1"/>
                <c:pt idx="0">
                  <c:v>Raquel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Gráficos!$CC$1:$CG$1</c15:sqref>
                  </c15:fullRef>
                </c:ext>
              </c:extLst>
              <c:f>Gráficos!$CC$1:$CF$1</c:f>
              <c:strCache>
                <c:ptCount val="4"/>
                <c:pt idx="0">
                  <c:v>Trim 1</c:v>
                </c:pt>
                <c:pt idx="1">
                  <c:v>Trim 2</c:v>
                </c:pt>
                <c:pt idx="2">
                  <c:v>Trim 3</c:v>
                </c:pt>
                <c:pt idx="3">
                  <c:v>Trim 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Gráficos!$CC$5:$CG$5</c15:sqref>
                  </c15:fullRef>
                </c:ext>
              </c:extLst>
              <c:f>Gráficos!$CC$5:$CF$5</c:f>
              <c:numCache>
                <c:formatCode>General</c:formatCode>
                <c:ptCount val="4"/>
                <c:pt idx="0">
                  <c:v>117</c:v>
                </c:pt>
                <c:pt idx="1">
                  <c:v>117</c:v>
                </c:pt>
                <c:pt idx="2">
                  <c:v>117</c:v>
                </c:pt>
                <c:pt idx="3">
                  <c:v>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FA7-4D3C-BA62-20289E6E86F7}"/>
            </c:ext>
          </c:extLst>
        </c:ser>
        <c:ser>
          <c:idx val="4"/>
          <c:order val="4"/>
          <c:tx>
            <c:strRef>
              <c:f>Gráficos!$CB$6</c:f>
              <c:strCache>
                <c:ptCount val="1"/>
                <c:pt idx="0">
                  <c:v>Talita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Gráficos!$CC$1:$CG$1</c15:sqref>
                  </c15:fullRef>
                </c:ext>
              </c:extLst>
              <c:f>Gráficos!$CC$1:$CF$1</c:f>
              <c:strCache>
                <c:ptCount val="4"/>
                <c:pt idx="0">
                  <c:v>Trim 1</c:v>
                </c:pt>
                <c:pt idx="1">
                  <c:v>Trim 2</c:v>
                </c:pt>
                <c:pt idx="2">
                  <c:v>Trim 3</c:v>
                </c:pt>
                <c:pt idx="3">
                  <c:v>Trim 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Gráficos!$CC$6:$CG$6</c15:sqref>
                  </c15:fullRef>
                </c:ext>
              </c:extLst>
              <c:f>Gráficos!$CC$6:$CF$6</c:f>
              <c:numCache>
                <c:formatCode>General</c:formatCode>
                <c:ptCount val="4"/>
                <c:pt idx="0">
                  <c:v>180</c:v>
                </c:pt>
                <c:pt idx="1">
                  <c:v>180</c:v>
                </c:pt>
                <c:pt idx="2">
                  <c:v>180</c:v>
                </c:pt>
                <c:pt idx="3">
                  <c:v>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FA7-4D3C-BA62-20289E6E86F7}"/>
            </c:ext>
          </c:extLst>
        </c:ser>
        <c:ser>
          <c:idx val="5"/>
          <c:order val="5"/>
          <c:tx>
            <c:strRef>
              <c:f>Gráficos!$CB$7</c:f>
              <c:strCache>
                <c:ptCount val="1"/>
                <c:pt idx="0">
                  <c:v>Andressa Gomes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Gráficos!$CC$1:$CG$1</c15:sqref>
                  </c15:fullRef>
                </c:ext>
              </c:extLst>
              <c:f>Gráficos!$CC$1:$CF$1</c:f>
              <c:strCache>
                <c:ptCount val="4"/>
                <c:pt idx="0">
                  <c:v>Trim 1</c:v>
                </c:pt>
                <c:pt idx="1">
                  <c:v>Trim 2</c:v>
                </c:pt>
                <c:pt idx="2">
                  <c:v>Trim 3</c:v>
                </c:pt>
                <c:pt idx="3">
                  <c:v>Trim 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Gráficos!$CC$7:$CG$7</c15:sqref>
                  </c15:fullRef>
                </c:ext>
              </c:extLst>
              <c:f>Gráficos!$CC$7:$CF$7</c:f>
              <c:numCache>
                <c:formatCode>General</c:formatCode>
                <c:ptCount val="4"/>
                <c:pt idx="0">
                  <c:v>297</c:v>
                </c:pt>
                <c:pt idx="1">
                  <c:v>297</c:v>
                </c:pt>
                <c:pt idx="2">
                  <c:v>297</c:v>
                </c:pt>
                <c:pt idx="3">
                  <c:v>297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FA7-4D3C-BA62-20289E6E86F7}"/>
            </c:ext>
          </c:extLst>
        </c:ser>
        <c:ser>
          <c:idx val="6"/>
          <c:order val="6"/>
          <c:tx>
            <c:strRef>
              <c:f>Gráficos!$CB$8</c:f>
              <c:strCache>
                <c:ptCount val="1"/>
                <c:pt idx="0">
                  <c:v>Andressa Cordeiro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Gráficos!$CC$1:$CG$1</c15:sqref>
                  </c15:fullRef>
                </c:ext>
              </c:extLst>
              <c:f>Gráficos!$CC$1:$CF$1</c:f>
              <c:strCache>
                <c:ptCount val="4"/>
                <c:pt idx="0">
                  <c:v>Trim 1</c:v>
                </c:pt>
                <c:pt idx="1">
                  <c:v>Trim 2</c:v>
                </c:pt>
                <c:pt idx="2">
                  <c:v>Trim 3</c:v>
                </c:pt>
                <c:pt idx="3">
                  <c:v>Trim 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Gráficos!$CC$8:$CG$8</c15:sqref>
                  </c15:fullRef>
                </c:ext>
              </c:extLst>
              <c:f>Gráficos!$CC$8:$CF$8</c:f>
              <c:numCache>
                <c:formatCode>General</c:formatCode>
                <c:ptCount val="4"/>
                <c:pt idx="0">
                  <c:v>519</c:v>
                </c:pt>
                <c:pt idx="1">
                  <c:v>519</c:v>
                </c:pt>
                <c:pt idx="2">
                  <c:v>519</c:v>
                </c:pt>
                <c:pt idx="3">
                  <c:v>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FA7-4D3C-BA62-20289E6E86F7}"/>
            </c:ext>
          </c:extLst>
        </c:ser>
        <c:ser>
          <c:idx val="7"/>
          <c:order val="7"/>
          <c:tx>
            <c:strRef>
              <c:f>Gráficos!$CB$9</c:f>
              <c:strCache>
                <c:ptCount val="1"/>
                <c:pt idx="0">
                  <c:v>Edu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Gráficos!$CC$1:$CG$1</c15:sqref>
                  </c15:fullRef>
                </c:ext>
              </c:extLst>
              <c:f>Gráficos!$CC$1:$CF$1</c:f>
              <c:strCache>
                <c:ptCount val="4"/>
                <c:pt idx="0">
                  <c:v>Trim 1</c:v>
                </c:pt>
                <c:pt idx="1">
                  <c:v>Trim 2</c:v>
                </c:pt>
                <c:pt idx="2">
                  <c:v>Trim 3</c:v>
                </c:pt>
                <c:pt idx="3">
                  <c:v>Trim 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Gráficos!$CC$9:$CG$9</c15:sqref>
                  </c15:fullRef>
                </c:ext>
              </c:extLst>
              <c:f>Gráficos!$CC$9:$CF$9</c:f>
              <c:numCache>
                <c:formatCode>General</c:formatCode>
                <c:ptCount val="4"/>
                <c:pt idx="0">
                  <c:v>978</c:v>
                </c:pt>
                <c:pt idx="1">
                  <c:v>978</c:v>
                </c:pt>
                <c:pt idx="2">
                  <c:v>978</c:v>
                </c:pt>
                <c:pt idx="3">
                  <c:v>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FA7-4D3C-BA62-20289E6E86F7}"/>
            </c:ext>
          </c:extLst>
        </c:ser>
        <c:ser>
          <c:idx val="8"/>
          <c:order val="8"/>
          <c:tx>
            <c:strRef>
              <c:f>Gráficos!$CB$10</c:f>
              <c:strCache>
                <c:ptCount val="1"/>
                <c:pt idx="0">
                  <c:v>Gabriel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Gráficos!$CC$1:$CG$1</c15:sqref>
                  </c15:fullRef>
                </c:ext>
              </c:extLst>
              <c:f>Gráficos!$CC$1:$CF$1</c:f>
              <c:strCache>
                <c:ptCount val="4"/>
                <c:pt idx="0">
                  <c:v>Trim 1</c:v>
                </c:pt>
                <c:pt idx="1">
                  <c:v>Trim 2</c:v>
                </c:pt>
                <c:pt idx="2">
                  <c:v>Trim 3</c:v>
                </c:pt>
                <c:pt idx="3">
                  <c:v>Trim 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Gráficos!$CC$10:$CG$10</c15:sqref>
                  </c15:fullRef>
                </c:ext>
              </c:extLst>
              <c:f>Gráficos!$CC$10:$CF$10</c:f>
              <c:numCache>
                <c:formatCode>General</c:formatCode>
                <c:ptCount val="4"/>
                <c:pt idx="0">
                  <c:v>1815</c:v>
                </c:pt>
                <c:pt idx="1">
                  <c:v>1815</c:v>
                </c:pt>
                <c:pt idx="2">
                  <c:v>1815</c:v>
                </c:pt>
                <c:pt idx="3">
                  <c:v>1815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FA7-4D3C-BA62-20289E6E86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671802783"/>
        <c:axId val="1671803199"/>
      </c:barChart>
      <c:catAx>
        <c:axId val="16718027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71803199"/>
        <c:crosses val="autoZero"/>
        <c:auto val="1"/>
        <c:lblAlgn val="ctr"/>
        <c:lblOffset val="100"/>
        <c:noMultiLvlLbl val="0"/>
      </c:catAx>
      <c:valAx>
        <c:axId val="1671803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718027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b="0" i="0" u="none" strike="noStrike" kern="12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Gráficos!$CC$14</c:f>
              <c:strCache>
                <c:ptCount val="1"/>
                <c:pt idx="0">
                  <c:v>Trim 1</c:v>
                </c:pt>
              </c:strCache>
            </c:strRef>
          </c:tx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solidFill>
                <a:schemeClr val="accent2">
                  <a:lumMod val="75000"/>
                </a:schemeClr>
              </a:solidFill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Gráficos!$CB$15:$CB$23</c:f>
              <c:strCache>
                <c:ptCount val="9"/>
                <c:pt idx="0">
                  <c:v>Luiz Dias</c:v>
                </c:pt>
                <c:pt idx="1">
                  <c:v>Juliana</c:v>
                </c:pt>
                <c:pt idx="2">
                  <c:v>Jeane</c:v>
                </c:pt>
                <c:pt idx="3">
                  <c:v>Raquel</c:v>
                </c:pt>
                <c:pt idx="4">
                  <c:v>Talita</c:v>
                </c:pt>
                <c:pt idx="5">
                  <c:v>Andressa Gomes</c:v>
                </c:pt>
                <c:pt idx="6">
                  <c:v>Andressa Cordeiro</c:v>
                </c:pt>
                <c:pt idx="7">
                  <c:v>Edu</c:v>
                </c:pt>
                <c:pt idx="8">
                  <c:v>Gabriel</c:v>
                </c:pt>
              </c:strCache>
            </c:strRef>
          </c:cat>
          <c:val>
            <c:numRef>
              <c:f>Gráficos!$CC$15:$CC$23</c:f>
              <c:numCache>
                <c:formatCode>General</c:formatCode>
                <c:ptCount val="9"/>
                <c:pt idx="0">
                  <c:v>45</c:v>
                </c:pt>
                <c:pt idx="1">
                  <c:v>60</c:v>
                </c:pt>
                <c:pt idx="2">
                  <c:v>81</c:v>
                </c:pt>
                <c:pt idx="3">
                  <c:v>117</c:v>
                </c:pt>
                <c:pt idx="4">
                  <c:v>180</c:v>
                </c:pt>
                <c:pt idx="5">
                  <c:v>297</c:v>
                </c:pt>
                <c:pt idx="6">
                  <c:v>519</c:v>
                </c:pt>
                <c:pt idx="7">
                  <c:v>978</c:v>
                </c:pt>
                <c:pt idx="8">
                  <c:v>1815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CE-4C8F-AEB2-0F8AF63454E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340138927"/>
        <c:axId val="1340145999"/>
      </c:barChart>
      <c:catAx>
        <c:axId val="13401389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40145999"/>
        <c:crosses val="autoZero"/>
        <c:auto val="1"/>
        <c:lblAlgn val="ctr"/>
        <c:lblOffset val="100"/>
        <c:noMultiLvlLbl val="0"/>
      </c:catAx>
      <c:valAx>
        <c:axId val="13401459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3401389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Total Anual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Gráficos!$CB$2</c:f>
              <c:strCache>
                <c:ptCount val="1"/>
                <c:pt idx="0">
                  <c:v>Luiz Dias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Gráficos!$CC$1:$CG$1</c15:sqref>
                  </c15:fullRef>
                </c:ext>
              </c:extLst>
              <c:f>Gráficos!$CG$1</c:f>
              <c:strCache>
                <c:ptCount val="1"/>
                <c:pt idx="0">
                  <c:v>Total Anual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Gráficos!$CC$2:$CG$2</c15:sqref>
                  </c15:fullRef>
                </c:ext>
              </c:extLst>
              <c:f>Gráficos!$CG$2</c:f>
              <c:numCache>
                <c:formatCode>General</c:formatCode>
                <c:ptCount val="1"/>
                <c:pt idx="0">
                  <c:v>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14-496A-8103-366D4B3F98C9}"/>
            </c:ext>
          </c:extLst>
        </c:ser>
        <c:ser>
          <c:idx val="1"/>
          <c:order val="1"/>
          <c:tx>
            <c:strRef>
              <c:f>Gráficos!$CB$3</c:f>
              <c:strCache>
                <c:ptCount val="1"/>
                <c:pt idx="0">
                  <c:v>Juliana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Gráficos!$CC$1:$CG$1</c15:sqref>
                  </c15:fullRef>
                </c:ext>
              </c:extLst>
              <c:f>Gráficos!$CG$1</c:f>
              <c:strCache>
                <c:ptCount val="1"/>
                <c:pt idx="0">
                  <c:v>Total Anual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Gráficos!$CC$3:$CG$3</c15:sqref>
                  </c15:fullRef>
                </c:ext>
              </c:extLst>
              <c:f>Gráficos!$CG$3</c:f>
              <c:numCache>
                <c:formatCode>General</c:formatCode>
                <c:ptCount val="1"/>
                <c:pt idx="0">
                  <c:v>240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14-496A-8103-366D4B3F98C9}"/>
            </c:ext>
          </c:extLst>
        </c:ser>
        <c:ser>
          <c:idx val="2"/>
          <c:order val="2"/>
          <c:tx>
            <c:strRef>
              <c:f>Gráficos!$CB$4</c:f>
              <c:strCache>
                <c:ptCount val="1"/>
                <c:pt idx="0">
                  <c:v>Jeane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Gráficos!$CC$1:$CG$1</c15:sqref>
                  </c15:fullRef>
                </c:ext>
              </c:extLst>
              <c:f>Gráficos!$CG$1</c:f>
              <c:strCache>
                <c:ptCount val="1"/>
                <c:pt idx="0">
                  <c:v>Total Anual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Gráficos!$CC$4:$CG$4</c15:sqref>
                  </c15:fullRef>
                </c:ext>
              </c:extLst>
              <c:f>Gráficos!$CG$4</c:f>
              <c:numCache>
                <c:formatCode>General</c:formatCode>
                <c:ptCount val="1"/>
                <c:pt idx="0">
                  <c:v>324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114-496A-8103-366D4B3F98C9}"/>
            </c:ext>
          </c:extLst>
        </c:ser>
        <c:ser>
          <c:idx val="3"/>
          <c:order val="3"/>
          <c:tx>
            <c:strRef>
              <c:f>Gráficos!$CB$5</c:f>
              <c:strCache>
                <c:ptCount val="1"/>
                <c:pt idx="0">
                  <c:v>Raquel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Gráficos!$CC$1:$CG$1</c15:sqref>
                  </c15:fullRef>
                </c:ext>
              </c:extLst>
              <c:f>Gráficos!$CG$1</c:f>
              <c:strCache>
                <c:ptCount val="1"/>
                <c:pt idx="0">
                  <c:v>Total Anual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Gráficos!$CC$5:$CG$5</c15:sqref>
                  </c15:fullRef>
                </c:ext>
              </c:extLst>
              <c:f>Gráficos!$CG$5</c:f>
              <c:numCache>
                <c:formatCode>General</c:formatCode>
                <c:ptCount val="1"/>
                <c:pt idx="0">
                  <c:v>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114-496A-8103-366D4B3F98C9}"/>
            </c:ext>
          </c:extLst>
        </c:ser>
        <c:ser>
          <c:idx val="4"/>
          <c:order val="4"/>
          <c:tx>
            <c:strRef>
              <c:f>Gráficos!$CB$6</c:f>
              <c:strCache>
                <c:ptCount val="1"/>
                <c:pt idx="0">
                  <c:v>Talita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Gráficos!$CC$1:$CG$1</c15:sqref>
                  </c15:fullRef>
                </c:ext>
              </c:extLst>
              <c:f>Gráficos!$CG$1</c:f>
              <c:strCache>
                <c:ptCount val="1"/>
                <c:pt idx="0">
                  <c:v>Total Anual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Gráficos!$CC$6:$CG$6</c15:sqref>
                  </c15:fullRef>
                </c:ext>
              </c:extLst>
              <c:f>Gráficos!$CG$6</c:f>
              <c:numCache>
                <c:formatCode>General</c:formatCode>
                <c:ptCount val="1"/>
                <c:pt idx="0">
                  <c:v>720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114-496A-8103-366D4B3F98C9}"/>
            </c:ext>
          </c:extLst>
        </c:ser>
        <c:ser>
          <c:idx val="5"/>
          <c:order val="5"/>
          <c:tx>
            <c:strRef>
              <c:f>Gráficos!$CB$7</c:f>
              <c:strCache>
                <c:ptCount val="1"/>
                <c:pt idx="0">
                  <c:v>Andressa Gomes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Gráficos!$CC$1:$CG$1</c15:sqref>
                  </c15:fullRef>
                </c:ext>
              </c:extLst>
              <c:f>Gráficos!$CG$1</c:f>
              <c:strCache>
                <c:ptCount val="1"/>
                <c:pt idx="0">
                  <c:v>Total Anual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Gráficos!$CC$7:$CG$7</c15:sqref>
                  </c15:fullRef>
                </c:ext>
              </c:extLst>
              <c:f>Gráficos!$CG$7</c:f>
              <c:numCache>
                <c:formatCode>General</c:formatCode>
                <c:ptCount val="1"/>
                <c:pt idx="0">
                  <c:v>1188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114-496A-8103-366D4B3F98C9}"/>
            </c:ext>
          </c:extLst>
        </c:ser>
        <c:ser>
          <c:idx val="6"/>
          <c:order val="6"/>
          <c:tx>
            <c:strRef>
              <c:f>Gráficos!$CB$8</c:f>
              <c:strCache>
                <c:ptCount val="1"/>
                <c:pt idx="0">
                  <c:v>Andressa Cordeiro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Gráficos!$CC$1:$CG$1</c15:sqref>
                  </c15:fullRef>
                </c:ext>
              </c:extLst>
              <c:f>Gráficos!$CG$1</c:f>
              <c:strCache>
                <c:ptCount val="1"/>
                <c:pt idx="0">
                  <c:v>Total Anual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Gráficos!$CC$8:$CG$8</c15:sqref>
                  </c15:fullRef>
                </c:ext>
              </c:extLst>
              <c:f>Gráficos!$CG$8</c:f>
              <c:numCache>
                <c:formatCode>General</c:formatCode>
                <c:ptCount val="1"/>
                <c:pt idx="0">
                  <c:v>2076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114-496A-8103-366D4B3F98C9}"/>
            </c:ext>
          </c:extLst>
        </c:ser>
        <c:ser>
          <c:idx val="7"/>
          <c:order val="7"/>
          <c:tx>
            <c:strRef>
              <c:f>Gráficos!$CB$9</c:f>
              <c:strCache>
                <c:ptCount val="1"/>
                <c:pt idx="0">
                  <c:v>Edu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Gráficos!$CC$1:$CG$1</c15:sqref>
                  </c15:fullRef>
                </c:ext>
              </c:extLst>
              <c:f>Gráficos!$CG$1</c:f>
              <c:strCache>
                <c:ptCount val="1"/>
                <c:pt idx="0">
                  <c:v>Total Anual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Gráficos!$CC$9:$CG$9</c15:sqref>
                  </c15:fullRef>
                </c:ext>
              </c:extLst>
              <c:f>Gráficos!$CG$9</c:f>
              <c:numCache>
                <c:formatCode>General</c:formatCode>
                <c:ptCount val="1"/>
                <c:pt idx="0">
                  <c:v>3912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114-496A-8103-366D4B3F98C9}"/>
            </c:ext>
          </c:extLst>
        </c:ser>
        <c:ser>
          <c:idx val="8"/>
          <c:order val="8"/>
          <c:tx>
            <c:strRef>
              <c:f>Gráficos!$CB$10</c:f>
              <c:strCache>
                <c:ptCount val="1"/>
                <c:pt idx="0">
                  <c:v>Gabriel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Gráficos!$CC$1:$CG$1</c15:sqref>
                  </c15:fullRef>
                </c:ext>
              </c:extLst>
              <c:f>Gráficos!$CG$1</c:f>
              <c:strCache>
                <c:ptCount val="1"/>
                <c:pt idx="0">
                  <c:v>Total Anual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Gráficos!$CC$10:$CG$10</c15:sqref>
                  </c15:fullRef>
                </c:ext>
              </c:extLst>
              <c:f>Gráficos!$CG$10</c:f>
              <c:numCache>
                <c:formatCode>General</c:formatCode>
                <c:ptCount val="1"/>
                <c:pt idx="0">
                  <c:v>7260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114-496A-8103-366D4B3F98C9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321118879"/>
        <c:axId val="1321119295"/>
      </c:barChart>
      <c:catAx>
        <c:axId val="13211188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21119295"/>
        <c:crosses val="autoZero"/>
        <c:auto val="1"/>
        <c:lblAlgn val="ctr"/>
        <c:lblOffset val="100"/>
        <c:noMultiLvlLbl val="0"/>
      </c:catAx>
      <c:valAx>
        <c:axId val="13211192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211188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Radio" checked="Checked" firstButton="1" fmlaLink="$CA$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Agosto!A1"/><Relationship Id="rId13" Type="http://schemas.openxmlformats.org/officeDocument/2006/relationships/hyperlink" Target="#Gr&#225;ficos!A1"/><Relationship Id="rId3" Type="http://schemas.openxmlformats.org/officeDocument/2006/relationships/hyperlink" Target="#Mar&#231;o!A1"/><Relationship Id="rId7" Type="http://schemas.openxmlformats.org/officeDocument/2006/relationships/hyperlink" Target="#Julho!A1"/><Relationship Id="rId12" Type="http://schemas.openxmlformats.org/officeDocument/2006/relationships/hyperlink" Target="#'Dezembro 2021'!A1"/><Relationship Id="rId2" Type="http://schemas.openxmlformats.org/officeDocument/2006/relationships/hyperlink" Target="#Fevereiro!A1"/><Relationship Id="rId1" Type="http://schemas.openxmlformats.org/officeDocument/2006/relationships/hyperlink" Target="#Janeiro!A1"/><Relationship Id="rId6" Type="http://schemas.openxmlformats.org/officeDocument/2006/relationships/hyperlink" Target="#Junho!A1"/><Relationship Id="rId11" Type="http://schemas.openxmlformats.org/officeDocument/2006/relationships/hyperlink" Target="#Novembro!A1"/><Relationship Id="rId5" Type="http://schemas.openxmlformats.org/officeDocument/2006/relationships/hyperlink" Target="#Maio!A1"/><Relationship Id="rId10" Type="http://schemas.openxmlformats.org/officeDocument/2006/relationships/hyperlink" Target="#Outubro!A1"/><Relationship Id="rId4" Type="http://schemas.openxmlformats.org/officeDocument/2006/relationships/hyperlink" Target="#Abril!A1"/><Relationship Id="rId9" Type="http://schemas.openxmlformats.org/officeDocument/2006/relationships/hyperlink" Target="#Setembro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Tela Inicial'!A1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'Tela Inicial'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'Tela Inicial'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'Tela Inicial'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'Tela Inicial'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'Tela Inicial'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'Tela Inicial'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'Tela Inicial'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'Tela Inicial'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'Tela Inicial'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'Tela Inicial'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'Tela Inicial'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'Tela Inicial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16563</xdr:colOff>
      <xdr:row>2</xdr:row>
      <xdr:rowOff>66701</xdr:rowOff>
    </xdr:from>
    <xdr:to>
      <xdr:col>4</xdr:col>
      <xdr:colOff>26502</xdr:colOff>
      <xdr:row>5</xdr:row>
      <xdr:rowOff>58418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28168" y="447701"/>
          <a:ext cx="1844755" cy="563217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Janeiro</a:t>
          </a:r>
        </a:p>
      </xdr:txBody>
    </xdr:sp>
    <xdr:clientData/>
  </xdr:twoCellAnchor>
  <xdr:twoCellAnchor>
    <xdr:from>
      <xdr:col>1</xdr:col>
      <xdr:colOff>0</xdr:colOff>
      <xdr:row>6</xdr:row>
      <xdr:rowOff>5019</xdr:rowOff>
    </xdr:from>
    <xdr:to>
      <xdr:col>4</xdr:col>
      <xdr:colOff>9939</xdr:colOff>
      <xdr:row>8</xdr:row>
      <xdr:rowOff>187236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11605" y="1148019"/>
          <a:ext cx="1844755" cy="563217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Fevereiro</a:t>
          </a:r>
        </a:p>
      </xdr:txBody>
    </xdr:sp>
    <xdr:clientData/>
  </xdr:twoCellAnchor>
  <xdr:twoCellAnchor>
    <xdr:from>
      <xdr:col>1</xdr:col>
      <xdr:colOff>0</xdr:colOff>
      <xdr:row>10</xdr:row>
      <xdr:rowOff>5019</xdr:rowOff>
    </xdr:from>
    <xdr:to>
      <xdr:col>4</xdr:col>
      <xdr:colOff>9939</xdr:colOff>
      <xdr:row>12</xdr:row>
      <xdr:rowOff>187236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11605" y="1910019"/>
          <a:ext cx="1844755" cy="563217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Março</a:t>
          </a:r>
        </a:p>
      </xdr:txBody>
    </xdr:sp>
    <xdr:clientData/>
  </xdr:twoCellAnchor>
  <xdr:twoCellAnchor>
    <xdr:from>
      <xdr:col>1</xdr:col>
      <xdr:colOff>0</xdr:colOff>
      <xdr:row>14</xdr:row>
      <xdr:rowOff>5019</xdr:rowOff>
    </xdr:from>
    <xdr:to>
      <xdr:col>4</xdr:col>
      <xdr:colOff>9939</xdr:colOff>
      <xdr:row>16</xdr:row>
      <xdr:rowOff>187236</xdr:rowOff>
    </xdr:to>
    <xdr:sp macro="" textlink="">
      <xdr:nvSpPr>
        <xdr:cNvPr id="5" name="Retângulo: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611605" y="2672019"/>
          <a:ext cx="1844755" cy="563217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Abril</a:t>
          </a:r>
        </a:p>
      </xdr:txBody>
    </xdr:sp>
    <xdr:clientData/>
  </xdr:twoCellAnchor>
  <xdr:twoCellAnchor>
    <xdr:from>
      <xdr:col>5</xdr:col>
      <xdr:colOff>13252</xdr:colOff>
      <xdr:row>2</xdr:row>
      <xdr:rowOff>50136</xdr:rowOff>
    </xdr:from>
    <xdr:to>
      <xdr:col>8</xdr:col>
      <xdr:colOff>23191</xdr:colOff>
      <xdr:row>5</xdr:row>
      <xdr:rowOff>41853</xdr:rowOff>
    </xdr:to>
    <xdr:sp macro="" textlink="">
      <xdr:nvSpPr>
        <xdr:cNvPr id="6" name="Retângulo: Cantos Arredondado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705318" y="431136"/>
          <a:ext cx="1844755" cy="563217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Maio</a:t>
          </a:r>
        </a:p>
      </xdr:txBody>
    </xdr:sp>
    <xdr:clientData/>
  </xdr:twoCellAnchor>
  <xdr:twoCellAnchor>
    <xdr:from>
      <xdr:col>5</xdr:col>
      <xdr:colOff>13252</xdr:colOff>
      <xdr:row>6</xdr:row>
      <xdr:rowOff>5019</xdr:rowOff>
    </xdr:from>
    <xdr:to>
      <xdr:col>8</xdr:col>
      <xdr:colOff>23191</xdr:colOff>
      <xdr:row>8</xdr:row>
      <xdr:rowOff>187236</xdr:rowOff>
    </xdr:to>
    <xdr:sp macro="" textlink="">
      <xdr:nvSpPr>
        <xdr:cNvPr id="7" name="Retângulo: Cantos Arredondado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2705318" y="1148019"/>
          <a:ext cx="1844755" cy="563217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Junho</a:t>
          </a:r>
        </a:p>
      </xdr:txBody>
    </xdr:sp>
    <xdr:clientData/>
  </xdr:twoCellAnchor>
  <xdr:twoCellAnchor>
    <xdr:from>
      <xdr:col>5</xdr:col>
      <xdr:colOff>13252</xdr:colOff>
      <xdr:row>10</xdr:row>
      <xdr:rowOff>5019</xdr:rowOff>
    </xdr:from>
    <xdr:to>
      <xdr:col>8</xdr:col>
      <xdr:colOff>23191</xdr:colOff>
      <xdr:row>12</xdr:row>
      <xdr:rowOff>187236</xdr:rowOff>
    </xdr:to>
    <xdr:sp macro="" textlink="">
      <xdr:nvSpPr>
        <xdr:cNvPr id="8" name="Retângulo: Cantos Arredondados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2705318" y="1910019"/>
          <a:ext cx="1844755" cy="563217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Julho</a:t>
          </a:r>
        </a:p>
      </xdr:txBody>
    </xdr:sp>
    <xdr:clientData/>
  </xdr:twoCellAnchor>
  <xdr:twoCellAnchor>
    <xdr:from>
      <xdr:col>5</xdr:col>
      <xdr:colOff>13252</xdr:colOff>
      <xdr:row>14</xdr:row>
      <xdr:rowOff>5019</xdr:rowOff>
    </xdr:from>
    <xdr:to>
      <xdr:col>8</xdr:col>
      <xdr:colOff>23191</xdr:colOff>
      <xdr:row>16</xdr:row>
      <xdr:rowOff>187236</xdr:rowOff>
    </xdr:to>
    <xdr:sp macro="" textlink="">
      <xdr:nvSpPr>
        <xdr:cNvPr id="9" name="Retângulo: Cantos Arredondados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2705318" y="2672019"/>
          <a:ext cx="1844755" cy="563217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Agosto</a:t>
          </a:r>
        </a:p>
      </xdr:txBody>
    </xdr:sp>
    <xdr:clientData/>
  </xdr:twoCellAnchor>
  <xdr:twoCellAnchor>
    <xdr:from>
      <xdr:col>9</xdr:col>
      <xdr:colOff>26504</xdr:colOff>
      <xdr:row>2</xdr:row>
      <xdr:rowOff>50136</xdr:rowOff>
    </xdr:from>
    <xdr:to>
      <xdr:col>12</xdr:col>
      <xdr:colOff>36443</xdr:colOff>
      <xdr:row>5</xdr:row>
      <xdr:rowOff>41853</xdr:rowOff>
    </xdr:to>
    <xdr:sp macro="" textlink="">
      <xdr:nvSpPr>
        <xdr:cNvPr id="10" name="Retângulo: Cantos Arredondados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4799030" y="431136"/>
          <a:ext cx="1844755" cy="563217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Setembro</a:t>
          </a:r>
        </a:p>
      </xdr:txBody>
    </xdr:sp>
    <xdr:clientData/>
  </xdr:twoCellAnchor>
  <xdr:twoCellAnchor>
    <xdr:from>
      <xdr:col>9</xdr:col>
      <xdr:colOff>26504</xdr:colOff>
      <xdr:row>6</xdr:row>
      <xdr:rowOff>5019</xdr:rowOff>
    </xdr:from>
    <xdr:to>
      <xdr:col>12</xdr:col>
      <xdr:colOff>36443</xdr:colOff>
      <xdr:row>8</xdr:row>
      <xdr:rowOff>187236</xdr:rowOff>
    </xdr:to>
    <xdr:sp macro="" textlink="">
      <xdr:nvSpPr>
        <xdr:cNvPr id="11" name="Retângulo: Cantos Arredondados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4799030" y="1148019"/>
          <a:ext cx="1844755" cy="563217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Outubro</a:t>
          </a:r>
        </a:p>
      </xdr:txBody>
    </xdr:sp>
    <xdr:clientData/>
  </xdr:twoCellAnchor>
  <xdr:twoCellAnchor>
    <xdr:from>
      <xdr:col>9</xdr:col>
      <xdr:colOff>26504</xdr:colOff>
      <xdr:row>10</xdr:row>
      <xdr:rowOff>5019</xdr:rowOff>
    </xdr:from>
    <xdr:to>
      <xdr:col>12</xdr:col>
      <xdr:colOff>36443</xdr:colOff>
      <xdr:row>12</xdr:row>
      <xdr:rowOff>187236</xdr:rowOff>
    </xdr:to>
    <xdr:sp macro="" textlink="">
      <xdr:nvSpPr>
        <xdr:cNvPr id="12" name="Retângulo: Cantos Arredondados 1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4799030" y="1910019"/>
          <a:ext cx="1844755" cy="563217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Novembro</a:t>
          </a:r>
        </a:p>
      </xdr:txBody>
    </xdr:sp>
    <xdr:clientData/>
  </xdr:twoCellAnchor>
  <xdr:twoCellAnchor>
    <xdr:from>
      <xdr:col>9</xdr:col>
      <xdr:colOff>26504</xdr:colOff>
      <xdr:row>14</xdr:row>
      <xdr:rowOff>5019</xdr:rowOff>
    </xdr:from>
    <xdr:to>
      <xdr:col>12</xdr:col>
      <xdr:colOff>36443</xdr:colOff>
      <xdr:row>16</xdr:row>
      <xdr:rowOff>187236</xdr:rowOff>
    </xdr:to>
    <xdr:sp macro="" textlink="">
      <xdr:nvSpPr>
        <xdr:cNvPr id="13" name="Retângulo: Cantos Arredondados 1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4799030" y="2672019"/>
          <a:ext cx="1844755" cy="563217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Dezembro</a:t>
          </a:r>
        </a:p>
      </xdr:txBody>
    </xdr:sp>
    <xdr:clientData/>
  </xdr:twoCellAnchor>
  <xdr:twoCellAnchor>
    <xdr:from>
      <xdr:col>1</xdr:col>
      <xdr:colOff>0</xdr:colOff>
      <xdr:row>17</xdr:row>
      <xdr:rowOff>90236</xdr:rowOff>
    </xdr:from>
    <xdr:to>
      <xdr:col>12</xdr:col>
      <xdr:colOff>5012</xdr:colOff>
      <xdr:row>20</xdr:row>
      <xdr:rowOff>81953</xdr:rowOff>
    </xdr:to>
    <xdr:sp macro="" textlink="">
      <xdr:nvSpPr>
        <xdr:cNvPr id="21" name="Retângulo: Cantos Arredondados 2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611605" y="3328736"/>
          <a:ext cx="6000749" cy="563217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9525</xdr:rowOff>
    </xdr:from>
    <xdr:to>
      <xdr:col>2</xdr:col>
      <xdr:colOff>600075</xdr:colOff>
      <xdr:row>15</xdr:row>
      <xdr:rowOff>9525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9050" y="9525"/>
          <a:ext cx="1800225" cy="285750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pt-BR" sz="1200"/>
        </a:p>
      </xdr:txBody>
    </xdr:sp>
    <xdr:clientData/>
  </xdr:twoCellAnchor>
  <xdr:twoCellAnchor>
    <xdr:from>
      <xdr:col>3</xdr:col>
      <xdr:colOff>10715</xdr:colOff>
      <xdr:row>23</xdr:row>
      <xdr:rowOff>84533</xdr:rowOff>
    </xdr:from>
    <xdr:to>
      <xdr:col>14</xdr:col>
      <xdr:colOff>609389</xdr:colOff>
      <xdr:row>43</xdr:row>
      <xdr:rowOff>47625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523875</xdr:colOff>
          <xdr:row>3</xdr:row>
          <xdr:rowOff>47625</xdr:rowOff>
        </xdr:from>
        <xdr:to>
          <xdr:col>2</xdr:col>
          <xdr:colOff>504825</xdr:colOff>
          <xdr:row>5</xdr:row>
          <xdr:rowOff>66675</xdr:rowOff>
        </xdr:to>
        <xdr:sp macro="" textlink="">
          <xdr:nvSpPr>
            <xdr:cNvPr id="16401" name="Option Button 17" descr="Trim 1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1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Trim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523875</xdr:colOff>
          <xdr:row>4</xdr:row>
          <xdr:rowOff>114300</xdr:rowOff>
        </xdr:from>
        <xdr:to>
          <xdr:col>2</xdr:col>
          <xdr:colOff>504825</xdr:colOff>
          <xdr:row>6</xdr:row>
          <xdr:rowOff>133350</xdr:rowOff>
        </xdr:to>
        <xdr:sp macro="" textlink="">
          <xdr:nvSpPr>
            <xdr:cNvPr id="16402" name="Option Button 18" descr="Trim 1" hidden="1">
              <a:extLst>
                <a:ext uri="{63B3BB69-23CF-44E3-9099-C40C66FF867C}">
                  <a14:compatExt spid="_x0000_s16402"/>
                </a:ext>
                <a:ext uri="{FF2B5EF4-FFF2-40B4-BE49-F238E27FC236}">
                  <a16:creationId xmlns:a16="http://schemas.microsoft.com/office/drawing/2014/main" id="{00000000-0008-0000-0100-00001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Trim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523875</xdr:colOff>
          <xdr:row>6</xdr:row>
          <xdr:rowOff>0</xdr:rowOff>
        </xdr:from>
        <xdr:to>
          <xdr:col>2</xdr:col>
          <xdr:colOff>504825</xdr:colOff>
          <xdr:row>8</xdr:row>
          <xdr:rowOff>19050</xdr:rowOff>
        </xdr:to>
        <xdr:sp macro="" textlink="">
          <xdr:nvSpPr>
            <xdr:cNvPr id="16403" name="Option Button 19" descr="Trim 1" hidden="1">
              <a:extLst>
                <a:ext uri="{63B3BB69-23CF-44E3-9099-C40C66FF867C}">
                  <a14:compatExt spid="_x0000_s16403"/>
                </a:ext>
                <a:ext uri="{FF2B5EF4-FFF2-40B4-BE49-F238E27FC236}">
                  <a16:creationId xmlns:a16="http://schemas.microsoft.com/office/drawing/2014/main" id="{00000000-0008-0000-0100-00001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Trim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523875</xdr:colOff>
          <xdr:row>7</xdr:row>
          <xdr:rowOff>76200</xdr:rowOff>
        </xdr:from>
        <xdr:to>
          <xdr:col>2</xdr:col>
          <xdr:colOff>504825</xdr:colOff>
          <xdr:row>9</xdr:row>
          <xdr:rowOff>95250</xdr:rowOff>
        </xdr:to>
        <xdr:sp macro="" textlink="">
          <xdr:nvSpPr>
            <xdr:cNvPr id="16404" name="Option Button 20" descr="Trim 1" hidden="1">
              <a:extLst>
                <a:ext uri="{63B3BB69-23CF-44E3-9099-C40C66FF867C}">
                  <a14:compatExt spid="_x0000_s16404"/>
                </a:ext>
                <a:ext uri="{FF2B5EF4-FFF2-40B4-BE49-F238E27FC236}">
                  <a16:creationId xmlns:a16="http://schemas.microsoft.com/office/drawing/2014/main" id="{00000000-0008-0000-0100-00001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Trim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523875</xdr:colOff>
          <xdr:row>8</xdr:row>
          <xdr:rowOff>142875</xdr:rowOff>
        </xdr:from>
        <xdr:to>
          <xdr:col>2</xdr:col>
          <xdr:colOff>504825</xdr:colOff>
          <xdr:row>10</xdr:row>
          <xdr:rowOff>161925</xdr:rowOff>
        </xdr:to>
        <xdr:sp macro="" textlink="">
          <xdr:nvSpPr>
            <xdr:cNvPr id="16405" name="Option Button 21" descr="Trim 1" hidden="1">
              <a:extLst>
                <a:ext uri="{63B3BB69-23CF-44E3-9099-C40C66FF867C}">
                  <a14:compatExt spid="_x0000_s16405"/>
                </a:ext>
                <a:ext uri="{FF2B5EF4-FFF2-40B4-BE49-F238E27FC236}">
                  <a16:creationId xmlns:a16="http://schemas.microsoft.com/office/drawing/2014/main" id="{00000000-0008-0000-0100-00001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Total anual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19049</xdr:colOff>
      <xdr:row>0</xdr:row>
      <xdr:rowOff>19049</xdr:rowOff>
    </xdr:from>
    <xdr:to>
      <xdr:col>14</xdr:col>
      <xdr:colOff>600074</xdr:colOff>
      <xdr:row>23</xdr:row>
      <xdr:rowOff>9524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3</xdr:col>
      <xdr:colOff>9524</xdr:colOff>
      <xdr:row>19</xdr:row>
      <xdr:rowOff>0</xdr:rowOff>
    </xdr:to>
    <xdr:sp macro="" textlink="">
      <xdr:nvSpPr>
        <xdr:cNvPr id="27" name="Retângulo: Cantos Arredondados 2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0" y="3048000"/>
          <a:ext cx="1838324" cy="57150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Tela</a:t>
          </a:r>
          <a:r>
            <a:rPr lang="pt-BR" sz="1100" baseline="0"/>
            <a:t> Inicial</a:t>
          </a:r>
          <a:endParaRPr lang="pt-BR" sz="1100"/>
        </a:p>
      </xdr:txBody>
    </xdr:sp>
    <xdr:clientData/>
  </xdr:twoCellAnchor>
  <xdr:twoCellAnchor>
    <xdr:from>
      <xdr:col>15</xdr:col>
      <xdr:colOff>66675</xdr:colOff>
      <xdr:row>0</xdr:row>
      <xdr:rowOff>19050</xdr:rowOff>
    </xdr:from>
    <xdr:to>
      <xdr:col>27</xdr:col>
      <xdr:colOff>53975</xdr:colOff>
      <xdr:row>23</xdr:row>
      <xdr:rowOff>19050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</xdr:colOff>
      <xdr:row>24</xdr:row>
      <xdr:rowOff>180975</xdr:rowOff>
    </xdr:from>
    <xdr:to>
      <xdr:col>7</xdr:col>
      <xdr:colOff>0</xdr:colOff>
      <xdr:row>27</xdr:row>
      <xdr:rowOff>9525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876675" y="4838700"/>
          <a:ext cx="1162050" cy="409575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Tela</a:t>
          </a:r>
          <a:r>
            <a:rPr lang="pt-BR" sz="1100" baseline="0"/>
            <a:t> Inicial</a:t>
          </a:r>
          <a:endParaRPr lang="pt-B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25</xdr:row>
      <xdr:rowOff>0</xdr:rowOff>
    </xdr:from>
    <xdr:to>
      <xdr:col>6</xdr:col>
      <xdr:colOff>1162050</xdr:colOff>
      <xdr:row>27</xdr:row>
      <xdr:rowOff>19050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295775" y="4762500"/>
          <a:ext cx="1162050" cy="40005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Tela</a:t>
          </a:r>
          <a:r>
            <a:rPr lang="pt-BR" sz="1100" baseline="0"/>
            <a:t> Inicial</a:t>
          </a:r>
          <a:endParaRPr lang="pt-BR" sz="1100"/>
        </a:p>
      </xdr:txBody>
    </xdr:sp>
    <xdr:clientData/>
  </xdr:twoCellAnchor>
  <xdr:twoCellAnchor>
    <xdr:from>
      <xdr:col>6</xdr:col>
      <xdr:colOff>0</xdr:colOff>
      <xdr:row>25</xdr:row>
      <xdr:rowOff>0</xdr:rowOff>
    </xdr:from>
    <xdr:to>
      <xdr:col>6</xdr:col>
      <xdr:colOff>1162050</xdr:colOff>
      <xdr:row>27</xdr:row>
      <xdr:rowOff>19050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295775" y="4857750"/>
          <a:ext cx="1162050" cy="40005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Tela</a:t>
          </a:r>
          <a:r>
            <a:rPr lang="pt-BR" sz="1100" baseline="0"/>
            <a:t> Inicial</a:t>
          </a:r>
          <a:endParaRPr lang="pt-BR" sz="1100"/>
        </a:p>
      </xdr:txBody>
    </xdr:sp>
    <xdr:clientData/>
  </xdr:twoCellAnchor>
  <xdr:twoCellAnchor>
    <xdr:from>
      <xdr:col>6</xdr:col>
      <xdr:colOff>0</xdr:colOff>
      <xdr:row>25</xdr:row>
      <xdr:rowOff>0</xdr:rowOff>
    </xdr:from>
    <xdr:to>
      <xdr:col>6</xdr:col>
      <xdr:colOff>1162050</xdr:colOff>
      <xdr:row>27</xdr:row>
      <xdr:rowOff>19050</xdr:rowOff>
    </xdr:to>
    <xdr:sp macro="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295775" y="4857750"/>
          <a:ext cx="1162050" cy="40005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Tela</a:t>
          </a:r>
          <a:r>
            <a:rPr lang="pt-BR" sz="1100" baseline="0"/>
            <a:t> Inicial</a:t>
          </a:r>
          <a:endParaRPr lang="pt-B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25</xdr:row>
      <xdr:rowOff>0</xdr:rowOff>
    </xdr:from>
    <xdr:to>
      <xdr:col>6</xdr:col>
      <xdr:colOff>1162050</xdr:colOff>
      <xdr:row>27</xdr:row>
      <xdr:rowOff>19050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295775" y="4762500"/>
          <a:ext cx="1162050" cy="40005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Tela</a:t>
          </a:r>
          <a:r>
            <a:rPr lang="pt-BR" sz="1100" baseline="0"/>
            <a:t> Inicial</a:t>
          </a:r>
          <a:endParaRPr lang="pt-BR" sz="1100"/>
        </a:p>
      </xdr:txBody>
    </xdr:sp>
    <xdr:clientData/>
  </xdr:twoCellAnchor>
  <xdr:twoCellAnchor>
    <xdr:from>
      <xdr:col>6</xdr:col>
      <xdr:colOff>0</xdr:colOff>
      <xdr:row>25</xdr:row>
      <xdr:rowOff>0</xdr:rowOff>
    </xdr:from>
    <xdr:to>
      <xdr:col>6</xdr:col>
      <xdr:colOff>1162050</xdr:colOff>
      <xdr:row>27</xdr:row>
      <xdr:rowOff>19050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4295775" y="4857750"/>
          <a:ext cx="1162050" cy="40005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Tela</a:t>
          </a:r>
          <a:r>
            <a:rPr lang="pt-BR" sz="1100" baseline="0"/>
            <a:t> Inicial</a:t>
          </a:r>
          <a:endParaRPr lang="pt-BR" sz="1100"/>
        </a:p>
      </xdr:txBody>
    </xdr:sp>
    <xdr:clientData/>
  </xdr:twoCellAnchor>
  <xdr:twoCellAnchor>
    <xdr:from>
      <xdr:col>6</xdr:col>
      <xdr:colOff>0</xdr:colOff>
      <xdr:row>25</xdr:row>
      <xdr:rowOff>0</xdr:rowOff>
    </xdr:from>
    <xdr:to>
      <xdr:col>6</xdr:col>
      <xdr:colOff>1162050</xdr:colOff>
      <xdr:row>27</xdr:row>
      <xdr:rowOff>19050</xdr:rowOff>
    </xdr:to>
    <xdr:sp macro="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4295775" y="4857750"/>
          <a:ext cx="1162050" cy="40005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Tela</a:t>
          </a:r>
          <a:r>
            <a:rPr lang="pt-BR" sz="1100" baseline="0"/>
            <a:t> Inicial</a:t>
          </a:r>
          <a:endParaRPr lang="pt-BR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25</xdr:row>
      <xdr:rowOff>0</xdr:rowOff>
    </xdr:from>
    <xdr:to>
      <xdr:col>6</xdr:col>
      <xdr:colOff>1162050</xdr:colOff>
      <xdr:row>27</xdr:row>
      <xdr:rowOff>19050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4295775" y="4762500"/>
          <a:ext cx="1162050" cy="40005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Tela</a:t>
          </a:r>
          <a:r>
            <a:rPr lang="pt-BR" sz="1100" baseline="0"/>
            <a:t> Inicial</a:t>
          </a:r>
          <a:endParaRPr lang="pt-BR" sz="1100"/>
        </a:p>
      </xdr:txBody>
    </xdr:sp>
    <xdr:clientData/>
  </xdr:twoCellAnchor>
  <xdr:twoCellAnchor>
    <xdr:from>
      <xdr:col>6</xdr:col>
      <xdr:colOff>0</xdr:colOff>
      <xdr:row>25</xdr:row>
      <xdr:rowOff>0</xdr:rowOff>
    </xdr:from>
    <xdr:to>
      <xdr:col>6</xdr:col>
      <xdr:colOff>1162050</xdr:colOff>
      <xdr:row>27</xdr:row>
      <xdr:rowOff>19050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295775" y="4857750"/>
          <a:ext cx="1162050" cy="40005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Tela</a:t>
          </a:r>
          <a:r>
            <a:rPr lang="pt-BR" sz="1100" baseline="0"/>
            <a:t> Inicial</a:t>
          </a:r>
          <a:endParaRPr lang="pt-BR" sz="1100"/>
        </a:p>
      </xdr:txBody>
    </xdr:sp>
    <xdr:clientData/>
  </xdr:twoCellAnchor>
  <xdr:twoCellAnchor>
    <xdr:from>
      <xdr:col>6</xdr:col>
      <xdr:colOff>0</xdr:colOff>
      <xdr:row>25</xdr:row>
      <xdr:rowOff>0</xdr:rowOff>
    </xdr:from>
    <xdr:to>
      <xdr:col>6</xdr:col>
      <xdr:colOff>1162050</xdr:colOff>
      <xdr:row>27</xdr:row>
      <xdr:rowOff>19050</xdr:rowOff>
    </xdr:to>
    <xdr:sp macro="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4295775" y="4857750"/>
          <a:ext cx="1162050" cy="40005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Tela</a:t>
          </a:r>
          <a:r>
            <a:rPr lang="pt-BR" sz="1100" baseline="0"/>
            <a:t> Inicial</a:t>
          </a:r>
          <a:endParaRPr lang="pt-BR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25</xdr:row>
      <xdr:rowOff>0</xdr:rowOff>
    </xdr:from>
    <xdr:to>
      <xdr:col>6</xdr:col>
      <xdr:colOff>1162050</xdr:colOff>
      <xdr:row>27</xdr:row>
      <xdr:rowOff>19050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4295775" y="4762500"/>
          <a:ext cx="1162050" cy="40005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Tela</a:t>
          </a:r>
          <a:r>
            <a:rPr lang="pt-BR" sz="1100" baseline="0"/>
            <a:t> Inicial</a:t>
          </a:r>
          <a:endParaRPr lang="pt-BR" sz="1100"/>
        </a:p>
      </xdr:txBody>
    </xdr:sp>
    <xdr:clientData/>
  </xdr:twoCellAnchor>
  <xdr:twoCellAnchor>
    <xdr:from>
      <xdr:col>6</xdr:col>
      <xdr:colOff>0</xdr:colOff>
      <xdr:row>25</xdr:row>
      <xdr:rowOff>0</xdr:rowOff>
    </xdr:from>
    <xdr:to>
      <xdr:col>6</xdr:col>
      <xdr:colOff>1162050</xdr:colOff>
      <xdr:row>27</xdr:row>
      <xdr:rowOff>19050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295775" y="4857750"/>
          <a:ext cx="1162050" cy="40005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Tela</a:t>
          </a:r>
          <a:r>
            <a:rPr lang="pt-BR" sz="1100" baseline="0"/>
            <a:t> Inicial</a:t>
          </a:r>
          <a:endParaRPr lang="pt-BR" sz="1100"/>
        </a:p>
      </xdr:txBody>
    </xdr:sp>
    <xdr:clientData/>
  </xdr:twoCellAnchor>
  <xdr:twoCellAnchor>
    <xdr:from>
      <xdr:col>6</xdr:col>
      <xdr:colOff>0</xdr:colOff>
      <xdr:row>25</xdr:row>
      <xdr:rowOff>0</xdr:rowOff>
    </xdr:from>
    <xdr:to>
      <xdr:col>6</xdr:col>
      <xdr:colOff>1162050</xdr:colOff>
      <xdr:row>27</xdr:row>
      <xdr:rowOff>19050</xdr:rowOff>
    </xdr:to>
    <xdr:sp macro="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4295775" y="4857750"/>
          <a:ext cx="1162050" cy="40005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Tela</a:t>
          </a:r>
          <a:r>
            <a:rPr lang="pt-BR" sz="1100" baseline="0"/>
            <a:t> Inicial</a:t>
          </a:r>
          <a:endParaRPr lang="pt-BR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25</xdr:row>
      <xdr:rowOff>0</xdr:rowOff>
    </xdr:from>
    <xdr:to>
      <xdr:col>6</xdr:col>
      <xdr:colOff>1162050</xdr:colOff>
      <xdr:row>27</xdr:row>
      <xdr:rowOff>19050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4295775" y="4762500"/>
          <a:ext cx="1162050" cy="40005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Tela</a:t>
          </a:r>
          <a:r>
            <a:rPr lang="pt-BR" sz="1100" baseline="0"/>
            <a:t> Inicial</a:t>
          </a:r>
          <a:endParaRPr lang="pt-BR" sz="1100"/>
        </a:p>
      </xdr:txBody>
    </xdr:sp>
    <xdr:clientData/>
  </xdr:twoCellAnchor>
  <xdr:twoCellAnchor>
    <xdr:from>
      <xdr:col>6</xdr:col>
      <xdr:colOff>0</xdr:colOff>
      <xdr:row>25</xdr:row>
      <xdr:rowOff>0</xdr:rowOff>
    </xdr:from>
    <xdr:to>
      <xdr:col>6</xdr:col>
      <xdr:colOff>1162050</xdr:colOff>
      <xdr:row>27</xdr:row>
      <xdr:rowOff>19050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295775" y="4857750"/>
          <a:ext cx="1162050" cy="40005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Tela</a:t>
          </a:r>
          <a:r>
            <a:rPr lang="pt-BR" sz="1100" baseline="0"/>
            <a:t> Inicial</a:t>
          </a:r>
          <a:endParaRPr lang="pt-BR" sz="1100"/>
        </a:p>
      </xdr:txBody>
    </xdr:sp>
    <xdr:clientData/>
  </xdr:twoCellAnchor>
  <xdr:twoCellAnchor>
    <xdr:from>
      <xdr:col>6</xdr:col>
      <xdr:colOff>0</xdr:colOff>
      <xdr:row>25</xdr:row>
      <xdr:rowOff>0</xdr:rowOff>
    </xdr:from>
    <xdr:to>
      <xdr:col>6</xdr:col>
      <xdr:colOff>1162050</xdr:colOff>
      <xdr:row>27</xdr:row>
      <xdr:rowOff>19050</xdr:rowOff>
    </xdr:to>
    <xdr:sp macro="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4295775" y="4857750"/>
          <a:ext cx="1162050" cy="40005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Tela</a:t>
          </a:r>
          <a:r>
            <a:rPr lang="pt-BR" sz="1100" baseline="0"/>
            <a:t> Inicial</a:t>
          </a:r>
          <a:endParaRPr lang="pt-BR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25</xdr:row>
      <xdr:rowOff>0</xdr:rowOff>
    </xdr:from>
    <xdr:to>
      <xdr:col>6</xdr:col>
      <xdr:colOff>1162050</xdr:colOff>
      <xdr:row>27</xdr:row>
      <xdr:rowOff>19050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4295775" y="4762500"/>
          <a:ext cx="1162050" cy="40005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Tela</a:t>
          </a:r>
          <a:r>
            <a:rPr lang="pt-BR" sz="1100" baseline="0"/>
            <a:t> Inicial</a:t>
          </a:r>
          <a:endParaRPr lang="pt-BR" sz="1100"/>
        </a:p>
      </xdr:txBody>
    </xdr:sp>
    <xdr:clientData/>
  </xdr:twoCellAnchor>
  <xdr:twoCellAnchor>
    <xdr:from>
      <xdr:col>6</xdr:col>
      <xdr:colOff>0</xdr:colOff>
      <xdr:row>25</xdr:row>
      <xdr:rowOff>0</xdr:rowOff>
    </xdr:from>
    <xdr:to>
      <xdr:col>6</xdr:col>
      <xdr:colOff>1162050</xdr:colOff>
      <xdr:row>27</xdr:row>
      <xdr:rowOff>19050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295775" y="4857750"/>
          <a:ext cx="1162050" cy="40005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Tela</a:t>
          </a:r>
          <a:r>
            <a:rPr lang="pt-BR" sz="1100" baseline="0"/>
            <a:t> Inicial</a:t>
          </a:r>
          <a:endParaRPr lang="pt-BR" sz="1100"/>
        </a:p>
      </xdr:txBody>
    </xdr:sp>
    <xdr:clientData/>
  </xdr:twoCellAnchor>
  <xdr:twoCellAnchor>
    <xdr:from>
      <xdr:col>6</xdr:col>
      <xdr:colOff>0</xdr:colOff>
      <xdr:row>25</xdr:row>
      <xdr:rowOff>0</xdr:rowOff>
    </xdr:from>
    <xdr:to>
      <xdr:col>6</xdr:col>
      <xdr:colOff>1162050</xdr:colOff>
      <xdr:row>27</xdr:row>
      <xdr:rowOff>19050</xdr:rowOff>
    </xdr:to>
    <xdr:sp macro="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4295775" y="4857750"/>
          <a:ext cx="1162050" cy="40005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Tela</a:t>
          </a:r>
          <a:r>
            <a:rPr lang="pt-BR" sz="1100" baseline="0"/>
            <a:t> Inicial</a:t>
          </a:r>
          <a:endParaRPr lang="pt-BR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25</xdr:row>
      <xdr:rowOff>0</xdr:rowOff>
    </xdr:from>
    <xdr:to>
      <xdr:col>6</xdr:col>
      <xdr:colOff>1162050</xdr:colOff>
      <xdr:row>27</xdr:row>
      <xdr:rowOff>19050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4295775" y="4762500"/>
          <a:ext cx="1162050" cy="40005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Tela</a:t>
          </a:r>
          <a:r>
            <a:rPr lang="pt-BR" sz="1100" baseline="0"/>
            <a:t> Inicial</a:t>
          </a:r>
          <a:endParaRPr lang="pt-BR" sz="1100"/>
        </a:p>
      </xdr:txBody>
    </xdr:sp>
    <xdr:clientData/>
  </xdr:twoCellAnchor>
  <xdr:twoCellAnchor>
    <xdr:from>
      <xdr:col>6</xdr:col>
      <xdr:colOff>0</xdr:colOff>
      <xdr:row>25</xdr:row>
      <xdr:rowOff>0</xdr:rowOff>
    </xdr:from>
    <xdr:to>
      <xdr:col>6</xdr:col>
      <xdr:colOff>1162050</xdr:colOff>
      <xdr:row>27</xdr:row>
      <xdr:rowOff>19050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295775" y="4857750"/>
          <a:ext cx="1162050" cy="40005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Tela</a:t>
          </a:r>
          <a:r>
            <a:rPr lang="pt-BR" sz="1100" baseline="0"/>
            <a:t> Inicial</a:t>
          </a:r>
          <a:endParaRPr lang="pt-BR" sz="1100"/>
        </a:p>
      </xdr:txBody>
    </xdr:sp>
    <xdr:clientData/>
  </xdr:twoCellAnchor>
  <xdr:twoCellAnchor>
    <xdr:from>
      <xdr:col>6</xdr:col>
      <xdr:colOff>0</xdr:colOff>
      <xdr:row>25</xdr:row>
      <xdr:rowOff>0</xdr:rowOff>
    </xdr:from>
    <xdr:to>
      <xdr:col>6</xdr:col>
      <xdr:colOff>1162050</xdr:colOff>
      <xdr:row>27</xdr:row>
      <xdr:rowOff>19050</xdr:rowOff>
    </xdr:to>
    <xdr:sp macro="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4295775" y="4857750"/>
          <a:ext cx="1162050" cy="40005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Tela</a:t>
          </a:r>
          <a:r>
            <a:rPr lang="pt-BR" sz="1100" baseline="0"/>
            <a:t> Inicial</a:t>
          </a:r>
          <a:endParaRPr lang="pt-BR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25</xdr:row>
      <xdr:rowOff>0</xdr:rowOff>
    </xdr:from>
    <xdr:to>
      <xdr:col>6</xdr:col>
      <xdr:colOff>1162050</xdr:colOff>
      <xdr:row>27</xdr:row>
      <xdr:rowOff>19050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4295775" y="4762500"/>
          <a:ext cx="1162050" cy="40005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Tela</a:t>
          </a:r>
          <a:r>
            <a:rPr lang="pt-BR" sz="1100" baseline="0"/>
            <a:t> Inicial</a:t>
          </a:r>
          <a:endParaRPr lang="pt-BR" sz="1100"/>
        </a:p>
      </xdr:txBody>
    </xdr:sp>
    <xdr:clientData/>
  </xdr:twoCellAnchor>
  <xdr:twoCellAnchor>
    <xdr:from>
      <xdr:col>6</xdr:col>
      <xdr:colOff>0</xdr:colOff>
      <xdr:row>25</xdr:row>
      <xdr:rowOff>0</xdr:rowOff>
    </xdr:from>
    <xdr:to>
      <xdr:col>6</xdr:col>
      <xdr:colOff>1162050</xdr:colOff>
      <xdr:row>27</xdr:row>
      <xdr:rowOff>19050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4295775" y="4857750"/>
          <a:ext cx="1162050" cy="40005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Tela</a:t>
          </a:r>
          <a:r>
            <a:rPr lang="pt-BR" sz="1100" baseline="0"/>
            <a:t> Inicial</a:t>
          </a:r>
          <a:endParaRPr lang="pt-BR" sz="1100"/>
        </a:p>
      </xdr:txBody>
    </xdr:sp>
    <xdr:clientData/>
  </xdr:twoCellAnchor>
  <xdr:twoCellAnchor>
    <xdr:from>
      <xdr:col>6</xdr:col>
      <xdr:colOff>0</xdr:colOff>
      <xdr:row>25</xdr:row>
      <xdr:rowOff>0</xdr:rowOff>
    </xdr:from>
    <xdr:to>
      <xdr:col>6</xdr:col>
      <xdr:colOff>1162050</xdr:colOff>
      <xdr:row>27</xdr:row>
      <xdr:rowOff>19050</xdr:rowOff>
    </xdr:to>
    <xdr:sp macro="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4295775" y="4857750"/>
          <a:ext cx="1162050" cy="40005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Tela</a:t>
          </a:r>
          <a:r>
            <a:rPr lang="pt-BR" sz="1100" baseline="0"/>
            <a:t> Inicial</a:t>
          </a:r>
          <a:endParaRPr lang="pt-BR" sz="1100"/>
        </a:p>
      </xdr:txBody>
    </xdr:sp>
    <xdr:clientData/>
  </xdr:twoCellAnchor>
  <xdr:twoCellAnchor>
    <xdr:from>
      <xdr:col>6</xdr:col>
      <xdr:colOff>0</xdr:colOff>
      <xdr:row>25</xdr:row>
      <xdr:rowOff>0</xdr:rowOff>
    </xdr:from>
    <xdr:to>
      <xdr:col>6</xdr:col>
      <xdr:colOff>1162050</xdr:colOff>
      <xdr:row>27</xdr:row>
      <xdr:rowOff>19050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3867150" y="4857750"/>
          <a:ext cx="1162050" cy="40005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Tela</a:t>
          </a:r>
          <a:r>
            <a:rPr lang="pt-BR" sz="1100" baseline="0"/>
            <a:t> Inicial</a:t>
          </a:r>
          <a:endParaRPr lang="pt-BR" sz="1100"/>
        </a:p>
      </xdr:txBody>
    </xdr:sp>
    <xdr:clientData/>
  </xdr:twoCellAnchor>
  <xdr:twoCellAnchor>
    <xdr:from>
      <xdr:col>6</xdr:col>
      <xdr:colOff>0</xdr:colOff>
      <xdr:row>25</xdr:row>
      <xdr:rowOff>0</xdr:rowOff>
    </xdr:from>
    <xdr:to>
      <xdr:col>6</xdr:col>
      <xdr:colOff>1162050</xdr:colOff>
      <xdr:row>27</xdr:row>
      <xdr:rowOff>19050</xdr:rowOff>
    </xdr:to>
    <xdr:sp macro="" textlink="">
      <xdr:nvSpPr>
        <xdr:cNvPr id="6" name="Retângulo: Cantos Arredondado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3867150" y="4857750"/>
          <a:ext cx="1162050" cy="40005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Tela</a:t>
          </a:r>
          <a:r>
            <a:rPr lang="pt-BR" sz="1100" baseline="0"/>
            <a:t> Inicial</a:t>
          </a:r>
          <a:endParaRPr lang="pt-BR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25</xdr:row>
      <xdr:rowOff>0</xdr:rowOff>
    </xdr:from>
    <xdr:to>
      <xdr:col>6</xdr:col>
      <xdr:colOff>1162050</xdr:colOff>
      <xdr:row>27</xdr:row>
      <xdr:rowOff>19050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4295775" y="4762500"/>
          <a:ext cx="1162050" cy="40005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Tela</a:t>
          </a:r>
          <a:r>
            <a:rPr lang="pt-BR" sz="1100" baseline="0"/>
            <a:t> Inicial</a:t>
          </a:r>
          <a:endParaRPr lang="pt-BR" sz="1100"/>
        </a:p>
      </xdr:txBody>
    </xdr:sp>
    <xdr:clientData/>
  </xdr:twoCellAnchor>
  <xdr:twoCellAnchor>
    <xdr:from>
      <xdr:col>6</xdr:col>
      <xdr:colOff>0</xdr:colOff>
      <xdr:row>25</xdr:row>
      <xdr:rowOff>0</xdr:rowOff>
    </xdr:from>
    <xdr:to>
      <xdr:col>6</xdr:col>
      <xdr:colOff>1162050</xdr:colOff>
      <xdr:row>27</xdr:row>
      <xdr:rowOff>19050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3867150" y="4857750"/>
          <a:ext cx="1162050" cy="40005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Tela</a:t>
          </a:r>
          <a:r>
            <a:rPr lang="pt-BR" sz="1100" baseline="0"/>
            <a:t> Inicial</a:t>
          </a:r>
          <a:endParaRPr lang="pt-BR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25</xdr:row>
      <xdr:rowOff>0</xdr:rowOff>
    </xdr:from>
    <xdr:to>
      <xdr:col>6</xdr:col>
      <xdr:colOff>1162050</xdr:colOff>
      <xdr:row>27</xdr:row>
      <xdr:rowOff>19050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4295775" y="4762500"/>
          <a:ext cx="1162050" cy="40005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Tela</a:t>
          </a:r>
          <a:r>
            <a:rPr lang="pt-BR" sz="1100" baseline="0"/>
            <a:t> Inicial</a:t>
          </a:r>
          <a:endParaRPr lang="pt-BR" sz="1100"/>
        </a:p>
      </xdr:txBody>
    </xdr:sp>
    <xdr:clientData/>
  </xdr:twoCellAnchor>
  <xdr:twoCellAnchor>
    <xdr:from>
      <xdr:col>6</xdr:col>
      <xdr:colOff>0</xdr:colOff>
      <xdr:row>25</xdr:row>
      <xdr:rowOff>0</xdr:rowOff>
    </xdr:from>
    <xdr:to>
      <xdr:col>6</xdr:col>
      <xdr:colOff>1162050</xdr:colOff>
      <xdr:row>27</xdr:row>
      <xdr:rowOff>19050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3867150" y="4857750"/>
          <a:ext cx="1162050" cy="40005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Tela</a:t>
          </a:r>
          <a:r>
            <a:rPr lang="pt-BR" sz="1100" baseline="0"/>
            <a:t> Inicial</a:t>
          </a:r>
          <a:endParaRPr lang="pt-BR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25</xdr:row>
      <xdr:rowOff>0</xdr:rowOff>
    </xdr:from>
    <xdr:to>
      <xdr:col>6</xdr:col>
      <xdr:colOff>1162050</xdr:colOff>
      <xdr:row>27</xdr:row>
      <xdr:rowOff>19050</xdr:rowOff>
    </xdr:to>
    <xdr:sp macro="" textlink="">
      <xdr:nvSpPr>
        <xdr:cNvPr id="16" name="Retângulo: Cantos Arredondado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SpPr/>
      </xdr:nvSpPr>
      <xdr:spPr>
        <a:xfrm>
          <a:off x="4290391" y="4762500"/>
          <a:ext cx="1162050" cy="40005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Tela</a:t>
          </a:r>
          <a:r>
            <a:rPr lang="pt-BR" sz="1100" baseline="0"/>
            <a:t> Inicial</a:t>
          </a:r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FDAA4B-1756-4F78-96D4-1B5CE9AAD9C7}">
  <sheetPr codeName="Planilha2"/>
  <dimension ref="A1:M51"/>
  <sheetViews>
    <sheetView showGridLines="0" tabSelected="1" zoomScale="190" zoomScaleNormal="190" workbookViewId="0">
      <selection activeCell="A3" sqref="A3:XFD1048576"/>
    </sheetView>
  </sheetViews>
  <sheetFormatPr defaultColWidth="0" defaultRowHeight="15" zeroHeight="1" x14ac:dyDescent="0.25"/>
  <cols>
    <col min="1" max="4" width="9.140625" style="17" customWidth="1"/>
    <col min="5" max="5" width="3.7109375" style="17" customWidth="1"/>
    <col min="6" max="8" width="9.140625" style="17" customWidth="1"/>
    <col min="9" max="9" width="3.7109375" style="17" customWidth="1"/>
    <col min="10" max="13" width="9.140625" style="17" customWidth="1"/>
    <col min="14" max="16384" width="9.140625" style="17" hidden="1"/>
  </cols>
  <sheetData>
    <row r="1" spans="1:13" customFormat="1" x14ac:dyDescent="0.25">
      <c r="A1" s="16" t="s">
        <v>12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</row>
    <row r="2" spans="1:13" customFormat="1" x14ac:dyDescent="0.25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</row>
    <row r="3" spans="1:13" x14ac:dyDescent="0.25"/>
    <row r="4" spans="1:13" x14ac:dyDescent="0.25"/>
    <row r="5" spans="1:13" x14ac:dyDescent="0.25"/>
    <row r="6" spans="1:13" x14ac:dyDescent="0.25"/>
    <row r="7" spans="1:13" x14ac:dyDescent="0.25"/>
    <row r="8" spans="1:13" x14ac:dyDescent="0.25"/>
    <row r="9" spans="1:13" x14ac:dyDescent="0.25"/>
    <row r="10" spans="1:13" x14ac:dyDescent="0.25"/>
    <row r="11" spans="1:13" x14ac:dyDescent="0.25"/>
    <row r="12" spans="1:13" x14ac:dyDescent="0.25"/>
    <row r="13" spans="1:13" x14ac:dyDescent="0.25"/>
    <row r="14" spans="1:13" x14ac:dyDescent="0.25"/>
    <row r="15" spans="1:13" x14ac:dyDescent="0.25"/>
    <row r="16" spans="1:13" x14ac:dyDescent="0.25"/>
    <row r="17" x14ac:dyDescent="0.25"/>
    <row r="18" x14ac:dyDescent="0.25"/>
    <row r="19" x14ac:dyDescent="0.25"/>
    <row r="20" x14ac:dyDescent="0.25"/>
    <row r="21" x14ac:dyDescent="0.25"/>
    <row r="33" ht="15" hidden="1" customHeight="1" x14ac:dyDescent="0.25"/>
    <row r="34" ht="15" hidden="1" customHeight="1" x14ac:dyDescent="0.25"/>
    <row r="35" ht="15" hidden="1" customHeight="1" x14ac:dyDescent="0.25"/>
    <row r="36" ht="15" hidden="1" customHeight="1" x14ac:dyDescent="0.25"/>
    <row r="37" ht="15" hidden="1" customHeight="1" x14ac:dyDescent="0.25"/>
    <row r="38" ht="15" hidden="1" customHeight="1" x14ac:dyDescent="0.25"/>
    <row r="39" ht="15" hidden="1" customHeight="1" x14ac:dyDescent="0.25"/>
    <row r="40" ht="15" hidden="1" customHeight="1" x14ac:dyDescent="0.25"/>
    <row r="41" ht="15" hidden="1" customHeight="1" x14ac:dyDescent="0.25"/>
    <row r="42" ht="15" hidden="1" customHeight="1" x14ac:dyDescent="0.25"/>
    <row r="43" ht="15" hidden="1" customHeight="1" x14ac:dyDescent="0.25"/>
    <row r="44" ht="15" hidden="1" customHeight="1" x14ac:dyDescent="0.25"/>
    <row r="45" ht="15" hidden="1" customHeight="1" x14ac:dyDescent="0.25"/>
    <row r="46" ht="15" hidden="1" customHeight="1" x14ac:dyDescent="0.25"/>
    <row r="47" ht="15" hidden="1" customHeight="1" x14ac:dyDescent="0.25"/>
    <row r="48" ht="15" hidden="1" customHeight="1" x14ac:dyDescent="0.25"/>
    <row r="49" ht="15" hidden="1" customHeight="1" x14ac:dyDescent="0.25"/>
    <row r="50" ht="15" hidden="1" customHeight="1" x14ac:dyDescent="0.25"/>
    <row r="51" ht="15" hidden="1" customHeight="1" x14ac:dyDescent="0.25"/>
  </sheetData>
  <mergeCells count="2">
    <mergeCell ref="A1:M2"/>
    <mergeCell ref="A3:XFD1048576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C21D3-0099-4847-8A39-1CADCA250E92}">
  <sheetPr codeName="Planilha1"/>
  <dimension ref="CA1:CG44"/>
  <sheetViews>
    <sheetView showGridLines="0" zoomScaleNormal="100" workbookViewId="0">
      <pane xSplit="3" topLeftCell="D1" activePane="topRight" state="frozen"/>
      <selection pane="topRight"/>
    </sheetView>
  </sheetViews>
  <sheetFormatPr defaultRowHeight="15" zeroHeight="1" x14ac:dyDescent="0.25"/>
  <cols>
    <col min="80" max="80" width="17.5703125" customWidth="1"/>
    <col min="84" max="84" width="6.42578125" customWidth="1"/>
    <col min="85" max="85" width="11" customWidth="1"/>
    <col min="16372" max="16372" width="13.7109375" customWidth="1"/>
  </cols>
  <sheetData>
    <row r="1" spans="79:85" x14ac:dyDescent="0.25">
      <c r="CA1">
        <v>1</v>
      </c>
      <c r="CB1" s="15" t="s">
        <v>39</v>
      </c>
      <c r="CC1" s="15" t="s">
        <v>40</v>
      </c>
      <c r="CD1" s="15" t="s">
        <v>41</v>
      </c>
      <c r="CE1" s="15" t="s">
        <v>42</v>
      </c>
      <c r="CF1" s="15" t="s">
        <v>43</v>
      </c>
      <c r="CG1" s="15" t="s">
        <v>44</v>
      </c>
    </row>
    <row r="2" spans="79:85" x14ac:dyDescent="0.25">
      <c r="CB2" t="s">
        <v>8</v>
      </c>
      <c r="CC2">
        <f>SUM(Janeiro:Março!C4,Janeiro:Março!I4,Janeiro:Março!C16,Janeiro:Março!I16,Janeiro:Março!C28)</f>
        <v>45</v>
      </c>
      <c r="CD2">
        <f>SUM(Abril:Junho!C4,Abril:Junho!I4,Abril:Junho!C16,Abril:Junho!I16,Abril:Junho!C28)</f>
        <v>45</v>
      </c>
      <c r="CE2">
        <f>SUM(Julho:Setembro!C4,Julho:Setembro!I4,Julho:Setembro!C16,Julho:Setembro!I16,Julho:Setembro!C28)</f>
        <v>45</v>
      </c>
      <c r="CF2">
        <f>SUM('Outubro:Dezembro 2021'!C4,'Outubro:Dezembro 2021'!I4,'Outubro:Dezembro 2021'!C16,'Outubro:Dezembro 2021'!I16,'Outubro:Dezembro 2021'!C28)</f>
        <v>45</v>
      </c>
      <c r="CG2">
        <f>SUM(CC2:CF2)</f>
        <v>180</v>
      </c>
    </row>
    <row r="3" spans="79:85" x14ac:dyDescent="0.25">
      <c r="CB3" t="str">
        <f>'Base de Dados'!D3</f>
        <v>Juliana</v>
      </c>
      <c r="CC3">
        <f>SUM(Janeiro:Março!C5,Janeiro:Março!I5,Janeiro:Março!C17,Janeiro:Março!I17,Janeiro:Março!C29)</f>
        <v>60</v>
      </c>
      <c r="CD3">
        <f>SUM(Abril:Junho!C5,Abril:Junho!I5,Abril:Junho!C17,Abril:Junho!I17,Abril:Junho!C29)</f>
        <v>60</v>
      </c>
      <c r="CE3">
        <f>SUM(Julho:Setembro!C5,Julho:Setembro!I5,Julho:Setembro!C17,Julho:Setembro!I17,Julho:Setembro!C29)</f>
        <v>60</v>
      </c>
      <c r="CF3">
        <f>SUM('Outubro:Dezembro 2021'!C5,'Outubro:Dezembro 2021'!I5,'Outubro:Dezembro 2021'!C17,'Outubro:Dezembro 2021'!I17,'Outubro:Dezembro 2021'!C29)</f>
        <v>60</v>
      </c>
      <c r="CG3">
        <f t="shared" ref="CG3:CG10" si="0">SUM(CC3:CF3)</f>
        <v>240</v>
      </c>
    </row>
    <row r="4" spans="79:85" x14ac:dyDescent="0.25">
      <c r="CB4" t="str">
        <f>'Base de Dados'!D4</f>
        <v>Jeane</v>
      </c>
      <c r="CC4">
        <f>SUM(Janeiro:Março!C6,Janeiro:Março!I6,Janeiro:Março!C18,Janeiro:Março!I18,Janeiro:Março!C30)</f>
        <v>81</v>
      </c>
      <c r="CD4">
        <f>SUM(Abril:Junho!C6,Abril:Junho!I6,Abril:Junho!C18,Abril:Junho!I18,Abril:Junho!C30)</f>
        <v>81</v>
      </c>
      <c r="CE4">
        <f>SUM(Julho:Setembro!C6,Julho:Setembro!I6,Julho:Setembro!C18,Julho:Setembro!I18,Julho:Setembro!C30)</f>
        <v>81</v>
      </c>
      <c r="CF4">
        <f>SUM('Outubro:Dezembro 2021'!C6,'Outubro:Dezembro 2021'!I6,'Outubro:Dezembro 2021'!C18,'Outubro:Dezembro 2021'!I18,'Outubro:Dezembro 2021'!C30)</f>
        <v>81</v>
      </c>
      <c r="CG4">
        <f t="shared" si="0"/>
        <v>324</v>
      </c>
    </row>
    <row r="5" spans="79:85" x14ac:dyDescent="0.25">
      <c r="CB5" t="str">
        <f>'Base de Dados'!D5</f>
        <v>Raquel</v>
      </c>
      <c r="CC5">
        <f>SUM(Janeiro:Março!C7,Janeiro:Março!I7,Janeiro:Março!C19,Janeiro:Março!I19,Janeiro:Março!C31)</f>
        <v>117</v>
      </c>
      <c r="CD5">
        <f>SUM(Abril:Junho!C7,Abril:Junho!I7,Abril:Junho!C19,Abril:Junho!I19,Abril:Junho!C31)</f>
        <v>117</v>
      </c>
      <c r="CE5">
        <f>SUM(Julho:Setembro!C7,Julho:Setembro!I7,Julho:Setembro!C19,Julho:Setembro!I19,Julho:Setembro!C31)</f>
        <v>117</v>
      </c>
      <c r="CF5">
        <f>SUM('Outubro:Dezembro 2021'!C7,'Outubro:Dezembro 2021'!I7,'Outubro:Dezembro 2021'!C19,'Outubro:Dezembro 2021'!I19,'Outubro:Dezembro 2021'!C31)</f>
        <v>117</v>
      </c>
      <c r="CG5">
        <f t="shared" si="0"/>
        <v>468</v>
      </c>
    </row>
    <row r="6" spans="79:85" x14ac:dyDescent="0.25">
      <c r="CB6" t="str">
        <f>'Base de Dados'!D6</f>
        <v>Talita</v>
      </c>
      <c r="CC6">
        <f>SUM(Janeiro:Março!C8,Janeiro:Março!I8,Janeiro:Março!C20,Janeiro:Março!I20,Janeiro:Março!C32)</f>
        <v>180</v>
      </c>
      <c r="CD6">
        <f>SUM(Abril:Junho!C8,Abril:Junho!I8,Abril:Junho!C20,Abril:Junho!I20,Abril:Junho!C32)</f>
        <v>180</v>
      </c>
      <c r="CE6">
        <f>SUM(Julho:Setembro!C8,Julho:Setembro!I8,Julho:Setembro!C20,Julho:Setembro!I20,Julho:Setembro!C32)</f>
        <v>180</v>
      </c>
      <c r="CF6">
        <f>SUM('Outubro:Dezembro 2021'!C8,'Outubro:Dezembro 2021'!I8,'Outubro:Dezembro 2021'!C20,'Outubro:Dezembro 2021'!I20,'Outubro:Dezembro 2021'!C32)</f>
        <v>180</v>
      </c>
      <c r="CG6">
        <f t="shared" si="0"/>
        <v>720</v>
      </c>
    </row>
    <row r="7" spans="79:85" x14ac:dyDescent="0.25">
      <c r="CB7" t="str">
        <f>'Base de Dados'!D7</f>
        <v>Andressa Gomes</v>
      </c>
      <c r="CC7">
        <f>SUM(Janeiro:Março!C9,Janeiro:Março!I9,Janeiro:Março!C21,Janeiro:Março!I21,Janeiro:Março!C33)</f>
        <v>297</v>
      </c>
      <c r="CD7">
        <f>SUM(Abril:Junho!C9,Abril:Junho!I9,Abril:Junho!C21,Abril:Junho!I21,Abril:Junho!C33)</f>
        <v>297</v>
      </c>
      <c r="CE7">
        <f>SUM(Julho:Setembro!C9,Julho:Setembro!I9,Julho:Setembro!C21,Julho:Setembro!I21,Julho:Setembro!C33)</f>
        <v>297</v>
      </c>
      <c r="CF7">
        <f>SUM('Outubro:Dezembro 2021'!C9,'Outubro:Dezembro 2021'!I9,'Outubro:Dezembro 2021'!C21,'Outubro:Dezembro 2021'!I21,'Outubro:Dezembro 2021'!C33)</f>
        <v>297</v>
      </c>
      <c r="CG7">
        <f t="shared" si="0"/>
        <v>1188</v>
      </c>
    </row>
    <row r="8" spans="79:85" x14ac:dyDescent="0.25">
      <c r="CB8" t="str">
        <f>'Base de Dados'!D8</f>
        <v>Andressa Cordeiro</v>
      </c>
      <c r="CC8">
        <f>SUM(Janeiro:Março!C10,Janeiro:Março!I10,Janeiro:Março!C22,Janeiro:Março!I22,Janeiro:Março!C34)</f>
        <v>519</v>
      </c>
      <c r="CD8">
        <f>SUM(Abril:Junho!C10,Abril:Junho!I10,Abril:Junho!C22,Abril:Junho!I22,Abril:Junho!C34)</f>
        <v>519</v>
      </c>
      <c r="CE8">
        <f>SUM(Julho:Setembro!C10,Julho:Setembro!I10,Julho:Setembro!C22,Julho:Setembro!I22,Julho:Setembro!C34)</f>
        <v>519</v>
      </c>
      <c r="CF8">
        <f>SUM('Outubro:Dezembro 2021'!C10,'Outubro:Dezembro 2021'!I10,'Outubro:Dezembro 2021'!C22,'Outubro:Dezembro 2021'!I22,'Outubro:Dezembro 2021'!C34)</f>
        <v>519</v>
      </c>
      <c r="CG8">
        <f t="shared" si="0"/>
        <v>2076</v>
      </c>
    </row>
    <row r="9" spans="79:85" x14ac:dyDescent="0.25">
      <c r="CB9" t="str">
        <f>'Base de Dados'!D9</f>
        <v>Edu</v>
      </c>
      <c r="CC9">
        <f>SUM(Janeiro:Março!C11,Janeiro:Março!I11,Janeiro:Março!C23,Janeiro:Março!I23,Janeiro:Março!C35)</f>
        <v>978</v>
      </c>
      <c r="CD9">
        <f>SUM(Abril:Junho!C11,Abril:Junho!I11,Abril:Junho!C23,Abril:Junho!I23,Abril:Junho!C35)</f>
        <v>978</v>
      </c>
      <c r="CE9">
        <f>SUM(Julho:Setembro!C11,Julho:Setembro!I11,Julho:Setembro!C23,Julho:Setembro!I23,Julho:Setembro!C35)</f>
        <v>978</v>
      </c>
      <c r="CF9">
        <f>SUM('Outubro:Dezembro 2021'!C11,'Outubro:Dezembro 2021'!I11,'Outubro:Dezembro 2021'!C23,'Outubro:Dezembro 2021'!I23,'Outubro:Dezembro 2021'!C35)</f>
        <v>978</v>
      </c>
      <c r="CG9">
        <f t="shared" si="0"/>
        <v>3912</v>
      </c>
    </row>
    <row r="10" spans="79:85" x14ac:dyDescent="0.25">
      <c r="CB10" t="str">
        <f>'Base de Dados'!D10</f>
        <v>Gabriel</v>
      </c>
      <c r="CC10">
        <f>SUM(Janeiro:Março!C12,Janeiro:Março!I12,Janeiro:Março!C24,Janeiro:Março!I24,Janeiro:Março!C36)</f>
        <v>1815</v>
      </c>
      <c r="CD10">
        <f>SUM(Abril:Junho!C12,Abril:Junho!I12,Abril:Junho!C24,Abril:Junho!I24,Abril:Junho!C36)</f>
        <v>1815</v>
      </c>
      <c r="CE10">
        <f>SUM(Julho:Setembro!C12,Julho:Setembro!I12,Julho:Setembro!C24,Julho:Setembro!I24,Julho:Setembro!C36)</f>
        <v>1815</v>
      </c>
      <c r="CF10">
        <f>SUM('Outubro:Dezembro 2021'!C12,'Outubro:Dezembro 2021'!I12,'Outubro:Dezembro 2021'!C24,'Outubro:Dezembro 2021'!I24,'Outubro:Dezembro 2021'!C36)</f>
        <v>1815</v>
      </c>
      <c r="CG10">
        <f t="shared" si="0"/>
        <v>7260</v>
      </c>
    </row>
    <row r="11" spans="79:85" x14ac:dyDescent="0.25"/>
    <row r="12" spans="79:85" x14ac:dyDescent="0.25"/>
    <row r="13" spans="79:85" x14ac:dyDescent="0.25"/>
    <row r="14" spans="79:85" x14ac:dyDescent="0.25">
      <c r="CB14" t="s">
        <v>0</v>
      </c>
      <c r="CC14" t="str">
        <f>INDEX(CC1:CG1,1,$CA$1)</f>
        <v>Trim 1</v>
      </c>
    </row>
    <row r="15" spans="79:85" x14ac:dyDescent="0.25">
      <c r="CB15" t="s">
        <v>8</v>
      </c>
      <c r="CC15">
        <f>INDEX(CC2:CG2,1,$CA$1)</f>
        <v>45</v>
      </c>
    </row>
    <row r="16" spans="79:85" x14ac:dyDescent="0.25">
      <c r="CB16" t="s">
        <v>13</v>
      </c>
      <c r="CC16">
        <f>INDEX(CC3:CG3,1,$CA$1)</f>
        <v>60</v>
      </c>
    </row>
    <row r="17" spans="80:81" x14ac:dyDescent="0.25">
      <c r="CB17" t="s">
        <v>14</v>
      </c>
      <c r="CC17">
        <f>INDEX(CC4:CG4,1,$CA$1)</f>
        <v>81</v>
      </c>
    </row>
    <row r="18" spans="80:81" x14ac:dyDescent="0.25">
      <c r="CB18" t="s">
        <v>15</v>
      </c>
      <c r="CC18">
        <f>INDEX(CC5:CG5,1,$CA$1)</f>
        <v>117</v>
      </c>
    </row>
    <row r="19" spans="80:81" x14ac:dyDescent="0.25">
      <c r="CB19" t="s">
        <v>16</v>
      </c>
      <c r="CC19">
        <f>INDEX(CC6:CG6,1,$CA$1)</f>
        <v>180</v>
      </c>
    </row>
    <row r="20" spans="80:81" x14ac:dyDescent="0.25">
      <c r="CB20" t="s">
        <v>17</v>
      </c>
      <c r="CC20">
        <f>INDEX(CC7:CG7,1,$CA$1)</f>
        <v>297</v>
      </c>
    </row>
    <row r="21" spans="80:81" x14ac:dyDescent="0.25">
      <c r="CB21" t="s">
        <v>18</v>
      </c>
      <c r="CC21">
        <f>INDEX(CC8:CG8,1,$CA$1)</f>
        <v>519</v>
      </c>
    </row>
    <row r="22" spans="80:81" x14ac:dyDescent="0.25">
      <c r="CB22" t="s">
        <v>19</v>
      </c>
      <c r="CC22">
        <f>INDEX(CC9:CG9,1,$CA$1)</f>
        <v>978</v>
      </c>
    </row>
    <row r="23" spans="80:81" x14ac:dyDescent="0.25">
      <c r="CB23" t="s">
        <v>20</v>
      </c>
      <c r="CC23">
        <f>INDEX(CC10:CG10,1,$CA$1)</f>
        <v>1815</v>
      </c>
    </row>
    <row r="24" spans="80:81" x14ac:dyDescent="0.25"/>
    <row r="25" spans="80:81" x14ac:dyDescent="0.25"/>
    <row r="26" spans="80:81" x14ac:dyDescent="0.25"/>
    <row r="27" spans="80:81" x14ac:dyDescent="0.25"/>
    <row r="28" spans="80:81" x14ac:dyDescent="0.25"/>
    <row r="29" spans="80:81" x14ac:dyDescent="0.25"/>
    <row r="30" spans="80:81" x14ac:dyDescent="0.25"/>
    <row r="31" spans="80:81" x14ac:dyDescent="0.25"/>
    <row r="32" spans="80:81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401" r:id="rId4" name="Option Button 17">
              <controlPr defaultSize="0" autoFill="0" autoLine="0" autoPict="0" altText="Trim 1">
                <anchor moveWithCells="1">
                  <from>
                    <xdr:col>0</xdr:col>
                    <xdr:colOff>523875</xdr:colOff>
                    <xdr:row>3</xdr:row>
                    <xdr:rowOff>47625</xdr:rowOff>
                  </from>
                  <to>
                    <xdr:col>2</xdr:col>
                    <xdr:colOff>504825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2" r:id="rId5" name="Option Button 18">
              <controlPr defaultSize="0" autoFill="0" autoLine="0" autoPict="0" altText="Trim 1">
                <anchor moveWithCells="1">
                  <from>
                    <xdr:col>0</xdr:col>
                    <xdr:colOff>523875</xdr:colOff>
                    <xdr:row>4</xdr:row>
                    <xdr:rowOff>114300</xdr:rowOff>
                  </from>
                  <to>
                    <xdr:col>2</xdr:col>
                    <xdr:colOff>504825</xdr:colOff>
                    <xdr:row>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3" r:id="rId6" name="Option Button 19">
              <controlPr defaultSize="0" autoFill="0" autoLine="0" autoPict="0" altText="Trim 1">
                <anchor moveWithCells="1">
                  <from>
                    <xdr:col>0</xdr:col>
                    <xdr:colOff>523875</xdr:colOff>
                    <xdr:row>6</xdr:row>
                    <xdr:rowOff>0</xdr:rowOff>
                  </from>
                  <to>
                    <xdr:col>2</xdr:col>
                    <xdr:colOff>504825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4" r:id="rId7" name="Option Button 20">
              <controlPr defaultSize="0" autoFill="0" autoLine="0" autoPict="0" altText="Trim 1">
                <anchor moveWithCells="1">
                  <from>
                    <xdr:col>0</xdr:col>
                    <xdr:colOff>523875</xdr:colOff>
                    <xdr:row>7</xdr:row>
                    <xdr:rowOff>76200</xdr:rowOff>
                  </from>
                  <to>
                    <xdr:col>2</xdr:col>
                    <xdr:colOff>504825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5" r:id="rId8" name="Option Button 21">
              <controlPr defaultSize="0" autoFill="0" autoLine="0" autoPict="0" altText="Trim 1">
                <anchor moveWithCells="1">
                  <from>
                    <xdr:col>0</xdr:col>
                    <xdr:colOff>523875</xdr:colOff>
                    <xdr:row>8</xdr:row>
                    <xdr:rowOff>142875</xdr:rowOff>
                  </from>
                  <to>
                    <xdr:col>2</xdr:col>
                    <xdr:colOff>504825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926AC-F03D-4D52-AE36-0A612346AE2C}">
  <sheetPr codeName="Planilha3"/>
  <dimension ref="A1:K36"/>
  <sheetViews>
    <sheetView showGridLines="0" workbookViewId="0">
      <selection activeCell="I30" sqref="I30"/>
    </sheetView>
  </sheetViews>
  <sheetFormatPr defaultRowHeight="15" x14ac:dyDescent="0.25"/>
  <cols>
    <col min="1" max="1" width="17.5703125" bestFit="1" customWidth="1"/>
    <col min="2" max="2" width="11.7109375" bestFit="1" customWidth="1"/>
    <col min="3" max="3" width="10.28515625" bestFit="1" customWidth="1"/>
    <col min="4" max="4" width="5.85546875" bestFit="1" customWidth="1"/>
    <col min="5" max="5" width="9.85546875" style="1" bestFit="1" customWidth="1"/>
    <col min="6" max="6" width="2.7109375" customWidth="1"/>
    <col min="7" max="7" width="17.5703125" bestFit="1" customWidth="1"/>
    <col min="8" max="8" width="11.7109375" bestFit="1" customWidth="1"/>
    <col min="9" max="9" width="10.28515625" bestFit="1" customWidth="1"/>
    <col min="10" max="10" width="5.85546875" bestFit="1" customWidth="1"/>
    <col min="11" max="11" width="8.7109375" bestFit="1" customWidth="1"/>
  </cols>
  <sheetData>
    <row r="1" spans="1:11" ht="19.5" thickBot="1" x14ac:dyDescent="0.45">
      <c r="A1" s="21" t="s">
        <v>36</v>
      </c>
      <c r="B1" s="21"/>
      <c r="C1" s="21"/>
      <c r="D1" s="21"/>
      <c r="E1" s="21"/>
      <c r="F1" s="21"/>
      <c r="G1" s="21"/>
      <c r="H1" s="21"/>
      <c r="I1" s="21"/>
      <c r="J1" s="21"/>
      <c r="K1" s="21"/>
    </row>
    <row r="2" spans="1:11" x14ac:dyDescent="0.25">
      <c r="A2" s="18" t="s">
        <v>22</v>
      </c>
      <c r="B2" s="19"/>
      <c r="C2" s="19"/>
      <c r="D2" s="19"/>
      <c r="E2" s="20"/>
      <c r="G2" s="18" t="s">
        <v>23</v>
      </c>
      <c r="H2" s="19"/>
      <c r="I2" s="19"/>
      <c r="J2" s="19"/>
      <c r="K2" s="20"/>
    </row>
    <row r="3" spans="1:11" x14ac:dyDescent="0.25">
      <c r="A3" s="5" t="s">
        <v>0</v>
      </c>
      <c r="B3" s="4" t="s">
        <v>4</v>
      </c>
      <c r="C3" s="4" t="s">
        <v>1</v>
      </c>
      <c r="D3" s="4" t="s">
        <v>3</v>
      </c>
      <c r="E3" s="6" t="s">
        <v>9</v>
      </c>
      <c r="G3" s="5" t="s">
        <v>0</v>
      </c>
      <c r="H3" s="4" t="s">
        <v>4</v>
      </c>
      <c r="I3" s="4" t="s">
        <v>1</v>
      </c>
      <c r="J3" s="4" t="s">
        <v>3</v>
      </c>
      <c r="K3" s="6" t="s">
        <v>9</v>
      </c>
    </row>
    <row r="4" spans="1:11" x14ac:dyDescent="0.25">
      <c r="A4" s="7" t="s">
        <v>8</v>
      </c>
      <c r="B4" s="2" t="str">
        <f>VLOOKUP(A4,'Base de Dados'!$D$2:$E$1048576,2,)</f>
        <v>Pleno</v>
      </c>
      <c r="C4" s="2">
        <v>1</v>
      </c>
      <c r="D4" s="2">
        <f>VLOOKUP(B4,'Base de Dados'!$A$2:$B$7,2,FALSE)</f>
        <v>20</v>
      </c>
      <c r="E4" s="8">
        <f>C4/D4</f>
        <v>0.05</v>
      </c>
      <c r="G4" s="7" t="s">
        <v>8</v>
      </c>
      <c r="H4" s="2" t="str">
        <f>VLOOKUP(G4,'Base de Dados'!$D$2:$E$1048576,2,)</f>
        <v>Pleno</v>
      </c>
      <c r="I4" s="2">
        <v>9</v>
      </c>
      <c r="J4" s="2">
        <f>VLOOKUP(H4,'Base de Dados'!$A$2:$B$7,2,FALSE)</f>
        <v>20</v>
      </c>
      <c r="K4" s="8">
        <f>I4/J4</f>
        <v>0.45</v>
      </c>
    </row>
    <row r="5" spans="1:11" x14ac:dyDescent="0.25">
      <c r="A5" s="7" t="s">
        <v>13</v>
      </c>
      <c r="B5" s="2" t="str">
        <f>VLOOKUP(A5,'Base de Dados'!$D$2:$E$1048576,2,)</f>
        <v>Pleno</v>
      </c>
      <c r="C5" s="2">
        <v>2</v>
      </c>
      <c r="D5" s="2">
        <f>VLOOKUP(B5,'Base de Dados'!$A$2:$B$7,2,FALSE)</f>
        <v>20</v>
      </c>
      <c r="E5" s="8">
        <f t="shared" ref="E5:E12" si="0">C5/D5</f>
        <v>0.1</v>
      </c>
      <c r="G5" s="7" t="s">
        <v>13</v>
      </c>
      <c r="H5" s="2" t="str">
        <f>VLOOKUP(G5,'Base de Dados'!$D$2:$E$1048576,2,)</f>
        <v>Pleno</v>
      </c>
      <c r="I5" s="2">
        <v>8</v>
      </c>
      <c r="J5" s="2">
        <f>VLOOKUP(H5,'Base de Dados'!$A$2:$B$7,2,FALSE)</f>
        <v>20</v>
      </c>
      <c r="K5" s="8">
        <f t="shared" ref="K5:K12" si="1">I5/J5</f>
        <v>0.4</v>
      </c>
    </row>
    <row r="6" spans="1:11" x14ac:dyDescent="0.25">
      <c r="A6" s="7" t="s">
        <v>14</v>
      </c>
      <c r="B6" s="2" t="str">
        <f>VLOOKUP(A6,'Base de Dados'!$D$2:$E$1048576,2,)</f>
        <v>Pleno</v>
      </c>
      <c r="C6" s="2">
        <v>3</v>
      </c>
      <c r="D6" s="2">
        <f>VLOOKUP(B6,'Base de Dados'!$A$2:$B$7,2,FALSE)</f>
        <v>20</v>
      </c>
      <c r="E6" s="8">
        <f t="shared" si="0"/>
        <v>0.15</v>
      </c>
      <c r="G6" s="7" t="s">
        <v>14</v>
      </c>
      <c r="H6" s="2" t="str">
        <f>VLOOKUP(G6,'Base de Dados'!$D$2:$E$1048576,2,)</f>
        <v>Pleno</v>
      </c>
      <c r="I6" s="2">
        <v>7</v>
      </c>
      <c r="J6" s="2">
        <f>VLOOKUP(H6,'Base de Dados'!$A$2:$B$7,2,FALSE)</f>
        <v>20</v>
      </c>
      <c r="K6" s="8">
        <f t="shared" si="1"/>
        <v>0.35</v>
      </c>
    </row>
    <row r="7" spans="1:11" x14ac:dyDescent="0.25">
      <c r="A7" s="7" t="s">
        <v>15</v>
      </c>
      <c r="B7" s="2" t="str">
        <f>VLOOKUP(A7,'Base de Dados'!$D$2:$E$1048576,2,)</f>
        <v>Junior</v>
      </c>
      <c r="C7" s="2">
        <v>4</v>
      </c>
      <c r="D7" s="2">
        <f>VLOOKUP(B7,'Base de Dados'!$A$2:$B$7,2,FALSE)</f>
        <v>15</v>
      </c>
      <c r="E7" s="8">
        <f t="shared" si="0"/>
        <v>0.26666666666666666</v>
      </c>
      <c r="G7" s="7" t="s">
        <v>15</v>
      </c>
      <c r="H7" s="2" t="str">
        <f>VLOOKUP(G7,'Base de Dados'!$D$2:$E$1048576,2,)</f>
        <v>Junior</v>
      </c>
      <c r="I7" s="2">
        <v>6</v>
      </c>
      <c r="J7" s="2">
        <f>VLOOKUP(H7,'Base de Dados'!$A$2:$B$7,2,FALSE)</f>
        <v>15</v>
      </c>
      <c r="K7" s="8">
        <f t="shared" si="1"/>
        <v>0.4</v>
      </c>
    </row>
    <row r="8" spans="1:11" x14ac:dyDescent="0.25">
      <c r="A8" s="7" t="s">
        <v>16</v>
      </c>
      <c r="B8" s="2" t="str">
        <f>VLOOKUP(A8,'Base de Dados'!$D$2:$E$1048576,2,)</f>
        <v>Junior</v>
      </c>
      <c r="C8" s="2">
        <v>5</v>
      </c>
      <c r="D8" s="2">
        <f>VLOOKUP(B8,'Base de Dados'!$A$2:$B$7,2,FALSE)</f>
        <v>15</v>
      </c>
      <c r="E8" s="8">
        <f t="shared" si="0"/>
        <v>0.33333333333333331</v>
      </c>
      <c r="G8" s="7" t="s">
        <v>16</v>
      </c>
      <c r="H8" s="2" t="str">
        <f>VLOOKUP(G8,'Base de Dados'!$D$2:$E$1048576,2,)</f>
        <v>Junior</v>
      </c>
      <c r="I8" s="2">
        <v>5</v>
      </c>
      <c r="J8" s="2">
        <f>VLOOKUP(H8,'Base de Dados'!$A$2:$B$7,2,FALSE)</f>
        <v>15</v>
      </c>
      <c r="K8" s="8">
        <f t="shared" si="1"/>
        <v>0.33333333333333331</v>
      </c>
    </row>
    <row r="9" spans="1:11" x14ac:dyDescent="0.25">
      <c r="A9" s="7" t="s">
        <v>17</v>
      </c>
      <c r="B9" s="2" t="str">
        <f>VLOOKUP(A9,'Base de Dados'!$D$2:$E$1048576,2,)</f>
        <v>Especialista</v>
      </c>
      <c r="C9" s="2">
        <v>6</v>
      </c>
      <c r="D9" s="2">
        <f>VLOOKUP(B9,'Base de Dados'!$A$2:$B$7,2,FALSE)</f>
        <v>30</v>
      </c>
      <c r="E9" s="8">
        <f t="shared" si="0"/>
        <v>0.2</v>
      </c>
      <c r="G9" s="7" t="s">
        <v>17</v>
      </c>
      <c r="H9" s="2" t="str">
        <f>VLOOKUP(G9,'Base de Dados'!$D$2:$E$1048576,2,)</f>
        <v>Especialista</v>
      </c>
      <c r="I9" s="2">
        <v>4</v>
      </c>
      <c r="J9" s="2">
        <f>VLOOKUP(H9,'Base de Dados'!$A$2:$B$7,2,FALSE)</f>
        <v>30</v>
      </c>
      <c r="K9" s="8">
        <f t="shared" si="1"/>
        <v>0.13333333333333333</v>
      </c>
    </row>
    <row r="10" spans="1:11" x14ac:dyDescent="0.25">
      <c r="A10" s="7" t="s">
        <v>18</v>
      </c>
      <c r="B10" s="2" t="str">
        <f>VLOOKUP(A10,'Base de Dados'!$D$2:$E$1048576,2,)</f>
        <v>Junior</v>
      </c>
      <c r="C10" s="2">
        <v>7</v>
      </c>
      <c r="D10" s="2">
        <f>VLOOKUP(B10,'Base de Dados'!$A$2:$B$7,2,FALSE)</f>
        <v>15</v>
      </c>
      <c r="E10" s="8">
        <f t="shared" si="0"/>
        <v>0.46666666666666667</v>
      </c>
      <c r="G10" s="7" t="s">
        <v>18</v>
      </c>
      <c r="H10" s="2" t="str">
        <f>VLOOKUP(G10,'Base de Dados'!$D$2:$E$1048576,2,)</f>
        <v>Junior</v>
      </c>
      <c r="I10" s="2">
        <v>3</v>
      </c>
      <c r="J10" s="2">
        <f>VLOOKUP(H10,'Base de Dados'!$A$2:$B$7,2,FALSE)</f>
        <v>15</v>
      </c>
      <c r="K10" s="8">
        <f t="shared" si="1"/>
        <v>0.2</v>
      </c>
    </row>
    <row r="11" spans="1:11" x14ac:dyDescent="0.25">
      <c r="A11" s="7" t="s">
        <v>19</v>
      </c>
      <c r="B11" s="2" t="str">
        <f>VLOOKUP(A11,'Base de Dados'!$D$2:$E$1048576,2,)</f>
        <v>Junior</v>
      </c>
      <c r="C11" s="2">
        <v>8</v>
      </c>
      <c r="D11" s="2">
        <f>VLOOKUP(B11,'Base de Dados'!$A$2:$B$7,2,FALSE)</f>
        <v>15</v>
      </c>
      <c r="E11" s="8">
        <f t="shared" si="0"/>
        <v>0.53333333333333333</v>
      </c>
      <c r="G11" s="7" t="s">
        <v>19</v>
      </c>
      <c r="H11" s="2" t="str">
        <f>VLOOKUP(G11,'Base de Dados'!$D$2:$E$1048576,2,)</f>
        <v>Junior</v>
      </c>
      <c r="I11" s="2">
        <v>2</v>
      </c>
      <c r="J11" s="2">
        <f>VLOOKUP(H11,'Base de Dados'!$A$2:$B$7,2,FALSE)</f>
        <v>15</v>
      </c>
      <c r="K11" s="8">
        <f t="shared" si="1"/>
        <v>0.13333333333333333</v>
      </c>
    </row>
    <row r="12" spans="1:11" ht="15.75" thickBot="1" x14ac:dyDescent="0.3">
      <c r="A12" s="9" t="s">
        <v>20</v>
      </c>
      <c r="B12" s="10" t="str">
        <f>VLOOKUP(A12,'Base de Dados'!$D$2:$E$1048576,2,)</f>
        <v>Junior</v>
      </c>
      <c r="C12" s="10">
        <v>9</v>
      </c>
      <c r="D12" s="10">
        <f>VLOOKUP(B12,'Base de Dados'!$A$2:$B$7,2,FALSE)</f>
        <v>15</v>
      </c>
      <c r="E12" s="11">
        <f t="shared" si="0"/>
        <v>0.6</v>
      </c>
      <c r="G12" s="9" t="s">
        <v>20</v>
      </c>
      <c r="H12" s="10" t="str">
        <f>VLOOKUP(G12,'Base de Dados'!$D$2:$E$1048576,2,)</f>
        <v>Junior</v>
      </c>
      <c r="I12" s="10">
        <v>1</v>
      </c>
      <c r="J12" s="10">
        <f>VLOOKUP(H12,'Base de Dados'!$A$2:$B$7,2,FALSE)</f>
        <v>15</v>
      </c>
      <c r="K12" s="11">
        <f t="shared" si="1"/>
        <v>6.6666666666666666E-2</v>
      </c>
    </row>
    <row r="13" spans="1:11" ht="15.75" thickBot="1" x14ac:dyDescent="0.3"/>
    <row r="14" spans="1:11" x14ac:dyDescent="0.25">
      <c r="A14" s="18" t="s">
        <v>24</v>
      </c>
      <c r="B14" s="19"/>
      <c r="C14" s="19"/>
      <c r="D14" s="19"/>
      <c r="E14" s="20"/>
      <c r="G14" s="18" t="s">
        <v>25</v>
      </c>
      <c r="H14" s="19"/>
      <c r="I14" s="19"/>
      <c r="J14" s="19"/>
      <c r="K14" s="20"/>
    </row>
    <row r="15" spans="1:11" x14ac:dyDescent="0.25">
      <c r="A15" s="5" t="s">
        <v>0</v>
      </c>
      <c r="B15" s="4" t="s">
        <v>4</v>
      </c>
      <c r="C15" s="4" t="s">
        <v>1</v>
      </c>
      <c r="D15" s="4" t="s">
        <v>3</v>
      </c>
      <c r="E15" s="6" t="s">
        <v>9</v>
      </c>
      <c r="G15" s="5" t="s">
        <v>0</v>
      </c>
      <c r="H15" s="4" t="s">
        <v>4</v>
      </c>
      <c r="I15" s="4" t="s">
        <v>1</v>
      </c>
      <c r="J15" s="4" t="s">
        <v>3</v>
      </c>
      <c r="K15" s="6" t="s">
        <v>9</v>
      </c>
    </row>
    <row r="16" spans="1:11" x14ac:dyDescent="0.25">
      <c r="A16" s="7" t="s">
        <v>8</v>
      </c>
      <c r="B16" s="2" t="str">
        <f>VLOOKUP(A16,'Base de Dados'!$D$2:$E$1048576,2,)</f>
        <v>Pleno</v>
      </c>
      <c r="C16" s="2">
        <v>2</v>
      </c>
      <c r="D16" s="2">
        <f>VLOOKUP(B16,'Base de Dados'!$A$2:$B$7,2,FALSE)</f>
        <v>20</v>
      </c>
      <c r="E16" s="8">
        <f>C16/D16</f>
        <v>0.1</v>
      </c>
      <c r="G16" s="7" t="s">
        <v>8</v>
      </c>
      <c r="H16" s="2" t="str">
        <f>VLOOKUP(G16,'Base de Dados'!$D$2:$E$1048576,2,)</f>
        <v>Pleno</v>
      </c>
      <c r="I16" s="2">
        <v>1</v>
      </c>
      <c r="J16" s="2">
        <f>VLOOKUP(H16,'Base de Dados'!$A$2:$B$7,2,FALSE)</f>
        <v>20</v>
      </c>
      <c r="K16" s="8">
        <f>I16/J16</f>
        <v>0.05</v>
      </c>
    </row>
    <row r="17" spans="1:11" x14ac:dyDescent="0.25">
      <c r="A17" s="7" t="s">
        <v>13</v>
      </c>
      <c r="B17" s="2" t="str">
        <f>VLOOKUP(A17,'Base de Dados'!$D$2:$E$1048576,2,)</f>
        <v>Pleno</v>
      </c>
      <c r="C17" s="2">
        <v>4</v>
      </c>
      <c r="D17" s="2">
        <f>VLOOKUP(B17,'Base de Dados'!$A$2:$B$7,2,FALSE)</f>
        <v>20</v>
      </c>
      <c r="E17" s="8">
        <f t="shared" ref="E17:E24" si="2">C17/D17</f>
        <v>0.2</v>
      </c>
      <c r="G17" s="7" t="s">
        <v>13</v>
      </c>
      <c r="H17" s="2" t="str">
        <f>VLOOKUP(G17,'Base de Dados'!$D$2:$E$1048576,2,)</f>
        <v>Pleno</v>
      </c>
      <c r="I17" s="2">
        <v>2</v>
      </c>
      <c r="J17" s="2">
        <f>VLOOKUP(H17,'Base de Dados'!$A$2:$B$7,2,FALSE)</f>
        <v>20</v>
      </c>
      <c r="K17" s="8">
        <f t="shared" ref="K17:K24" si="3">I17/J17</f>
        <v>0.1</v>
      </c>
    </row>
    <row r="18" spans="1:11" x14ac:dyDescent="0.25">
      <c r="A18" s="7" t="s">
        <v>14</v>
      </c>
      <c r="B18" s="2" t="str">
        <f>VLOOKUP(A18,'Base de Dados'!$D$2:$E$1048576,2,)</f>
        <v>Pleno</v>
      </c>
      <c r="C18" s="2">
        <v>6</v>
      </c>
      <c r="D18" s="2">
        <f>VLOOKUP(B18,'Base de Dados'!$A$2:$B$7,2,FALSE)</f>
        <v>20</v>
      </c>
      <c r="E18" s="8">
        <f t="shared" si="2"/>
        <v>0.3</v>
      </c>
      <c r="G18" s="7" t="s">
        <v>14</v>
      </c>
      <c r="H18" s="2" t="str">
        <f>VLOOKUP(G18,'Base de Dados'!$D$2:$E$1048576,2,)</f>
        <v>Pleno</v>
      </c>
      <c r="I18" s="2">
        <v>3</v>
      </c>
      <c r="J18" s="2">
        <f>VLOOKUP(H18,'Base de Dados'!$A$2:$B$7,2,FALSE)</f>
        <v>20</v>
      </c>
      <c r="K18" s="8">
        <f t="shared" si="3"/>
        <v>0.15</v>
      </c>
    </row>
    <row r="19" spans="1:11" x14ac:dyDescent="0.25">
      <c r="A19" s="7" t="s">
        <v>15</v>
      </c>
      <c r="B19" s="2" t="str">
        <f>VLOOKUP(A19,'Base de Dados'!$D$2:$E$1048576,2,)</f>
        <v>Junior</v>
      </c>
      <c r="C19" s="2">
        <v>8</v>
      </c>
      <c r="D19" s="2">
        <f>VLOOKUP(B19,'Base de Dados'!$A$2:$B$7,2,FALSE)</f>
        <v>15</v>
      </c>
      <c r="E19" s="8">
        <f t="shared" si="2"/>
        <v>0.53333333333333333</v>
      </c>
      <c r="G19" s="7" t="s">
        <v>15</v>
      </c>
      <c r="H19" s="2" t="str">
        <f>VLOOKUP(G19,'Base de Dados'!$D$2:$E$1048576,2,)</f>
        <v>Junior</v>
      </c>
      <c r="I19" s="2">
        <v>5</v>
      </c>
      <c r="J19" s="2">
        <f>VLOOKUP(H19,'Base de Dados'!$A$2:$B$7,2,FALSE)</f>
        <v>15</v>
      </c>
      <c r="K19" s="8">
        <f t="shared" si="3"/>
        <v>0.33333333333333331</v>
      </c>
    </row>
    <row r="20" spans="1:11" x14ac:dyDescent="0.25">
      <c r="A20" s="7" t="s">
        <v>16</v>
      </c>
      <c r="B20" s="2" t="str">
        <f>VLOOKUP(A20,'Base de Dados'!$D$2:$E$1048576,2,)</f>
        <v>Junior</v>
      </c>
      <c r="C20" s="2">
        <v>10</v>
      </c>
      <c r="D20" s="2">
        <f>VLOOKUP(B20,'Base de Dados'!$A$2:$B$7,2,FALSE)</f>
        <v>15</v>
      </c>
      <c r="E20" s="8">
        <f t="shared" si="2"/>
        <v>0.66666666666666663</v>
      </c>
      <c r="G20" s="7" t="s">
        <v>16</v>
      </c>
      <c r="H20" s="2" t="str">
        <f>VLOOKUP(G20,'Base de Dados'!$D$2:$E$1048576,2,)</f>
        <v>Junior</v>
      </c>
      <c r="I20" s="2">
        <v>8</v>
      </c>
      <c r="J20" s="2">
        <f>VLOOKUP(H20,'Base de Dados'!$A$2:$B$7,2,FALSE)</f>
        <v>15</v>
      </c>
      <c r="K20" s="8">
        <f t="shared" si="3"/>
        <v>0.53333333333333333</v>
      </c>
    </row>
    <row r="21" spans="1:11" x14ac:dyDescent="0.25">
      <c r="A21" s="7" t="s">
        <v>17</v>
      </c>
      <c r="B21" s="2" t="str">
        <f>VLOOKUP(A21,'Base de Dados'!$D$2:$E$1048576,2,)</f>
        <v>Especialista</v>
      </c>
      <c r="C21" s="2">
        <v>12</v>
      </c>
      <c r="D21" s="2">
        <f>VLOOKUP(B21,'Base de Dados'!$A$2:$B$7,2,FALSE)</f>
        <v>30</v>
      </c>
      <c r="E21" s="8">
        <f t="shared" si="2"/>
        <v>0.4</v>
      </c>
      <c r="G21" s="7" t="s">
        <v>17</v>
      </c>
      <c r="H21" s="2" t="str">
        <f>VLOOKUP(G21,'Base de Dados'!$D$2:$E$1048576,2,)</f>
        <v>Especialista</v>
      </c>
      <c r="I21" s="2">
        <v>13</v>
      </c>
      <c r="J21" s="2">
        <f>VLOOKUP(H21,'Base de Dados'!$A$2:$B$7,2,FALSE)</f>
        <v>30</v>
      </c>
      <c r="K21" s="8">
        <f t="shared" si="3"/>
        <v>0.43333333333333335</v>
      </c>
    </row>
    <row r="22" spans="1:11" x14ac:dyDescent="0.25">
      <c r="A22" s="7" t="s">
        <v>18</v>
      </c>
      <c r="B22" s="2" t="str">
        <f>VLOOKUP(A22,'Base de Dados'!$D$2:$E$1048576,2,)</f>
        <v>Junior</v>
      </c>
      <c r="C22" s="2">
        <v>14</v>
      </c>
      <c r="D22" s="2">
        <f>VLOOKUP(B22,'Base de Dados'!$A$2:$B$7,2,FALSE)</f>
        <v>15</v>
      </c>
      <c r="E22" s="8">
        <f t="shared" si="2"/>
        <v>0.93333333333333335</v>
      </c>
      <c r="G22" s="7" t="s">
        <v>18</v>
      </c>
      <c r="H22" s="2" t="str">
        <f>VLOOKUP(G22,'Base de Dados'!$D$2:$E$1048576,2,)</f>
        <v>Junior</v>
      </c>
      <c r="I22" s="2">
        <v>21</v>
      </c>
      <c r="J22" s="2">
        <f>VLOOKUP(H22,'Base de Dados'!$A$2:$B$7,2,FALSE)</f>
        <v>15</v>
      </c>
      <c r="K22" s="8">
        <f t="shared" si="3"/>
        <v>1.4</v>
      </c>
    </row>
    <row r="23" spans="1:11" x14ac:dyDescent="0.25">
      <c r="A23" s="7" t="s">
        <v>19</v>
      </c>
      <c r="B23" s="2" t="str">
        <f>VLOOKUP(A23,'Base de Dados'!$D$2:$E$1048576,2,)</f>
        <v>Junior</v>
      </c>
      <c r="C23" s="2">
        <v>16</v>
      </c>
      <c r="D23" s="2">
        <f>VLOOKUP(B23,'Base de Dados'!$A$2:$B$7,2,FALSE)</f>
        <v>15</v>
      </c>
      <c r="E23" s="8">
        <f t="shared" si="2"/>
        <v>1.0666666666666667</v>
      </c>
      <c r="G23" s="7" t="s">
        <v>19</v>
      </c>
      <c r="H23" s="2" t="str">
        <f>VLOOKUP(G23,'Base de Dados'!$D$2:$E$1048576,2,)</f>
        <v>Junior</v>
      </c>
      <c r="I23" s="2">
        <v>44</v>
      </c>
      <c r="J23" s="2">
        <f>VLOOKUP(H23,'Base de Dados'!$A$2:$B$7,2,FALSE)</f>
        <v>15</v>
      </c>
      <c r="K23" s="8">
        <f t="shared" si="3"/>
        <v>2.9333333333333331</v>
      </c>
    </row>
    <row r="24" spans="1:11" ht="15.75" thickBot="1" x14ac:dyDescent="0.3">
      <c r="A24" s="9" t="s">
        <v>20</v>
      </c>
      <c r="B24" s="10" t="str">
        <f>VLOOKUP(A24,'Base de Dados'!$D$2:$E$1048576,2,)</f>
        <v>Junior</v>
      </c>
      <c r="C24" s="10">
        <v>18</v>
      </c>
      <c r="D24" s="10">
        <f>VLOOKUP(B24,'Base de Dados'!$A$2:$B$7,2,FALSE)</f>
        <v>15</v>
      </c>
      <c r="E24" s="11">
        <f t="shared" si="2"/>
        <v>1.2</v>
      </c>
      <c r="G24" s="9" t="s">
        <v>20</v>
      </c>
      <c r="H24" s="10" t="str">
        <f>VLOOKUP(G24,'Base de Dados'!$D$2:$E$1048576,2,)</f>
        <v>Junior</v>
      </c>
      <c r="I24" s="10">
        <v>65</v>
      </c>
      <c r="J24" s="10">
        <f>VLOOKUP(H24,'Base de Dados'!$A$2:$B$7,2,FALSE)</f>
        <v>15</v>
      </c>
      <c r="K24" s="11">
        <f t="shared" si="3"/>
        <v>4.333333333333333</v>
      </c>
    </row>
    <row r="25" spans="1:11" ht="15.75" thickBot="1" x14ac:dyDescent="0.3"/>
    <row r="26" spans="1:11" x14ac:dyDescent="0.25">
      <c r="A26" s="18" t="s">
        <v>26</v>
      </c>
      <c r="B26" s="19"/>
      <c r="C26" s="19"/>
      <c r="D26" s="19"/>
      <c r="E26" s="20"/>
    </row>
    <row r="27" spans="1:11" x14ac:dyDescent="0.25">
      <c r="A27" s="5" t="s">
        <v>0</v>
      </c>
      <c r="B27" s="4" t="s">
        <v>4</v>
      </c>
      <c r="C27" s="4" t="s">
        <v>1</v>
      </c>
      <c r="D27" s="4" t="s">
        <v>3</v>
      </c>
      <c r="E27" s="6" t="s">
        <v>9</v>
      </c>
    </row>
    <row r="28" spans="1:11" x14ac:dyDescent="0.25">
      <c r="A28" s="7" t="s">
        <v>8</v>
      </c>
      <c r="B28" s="2" t="str">
        <f>VLOOKUP(A28,'Base de Dados'!$D$2:$E$1048576,2,)</f>
        <v>Pleno</v>
      </c>
      <c r="C28" s="2">
        <v>2</v>
      </c>
      <c r="D28" s="2">
        <f>VLOOKUP(B28,'Base de Dados'!$A$2:$B$7,2,FALSE)</f>
        <v>20</v>
      </c>
      <c r="E28" s="8">
        <f>C28/D28</f>
        <v>0.1</v>
      </c>
    </row>
    <row r="29" spans="1:11" x14ac:dyDescent="0.25">
      <c r="A29" s="7" t="s">
        <v>13</v>
      </c>
      <c r="B29" s="2" t="str">
        <f>VLOOKUP(A29,'Base de Dados'!$D$2:$E$1048576,2,)</f>
        <v>Pleno</v>
      </c>
      <c r="C29" s="2">
        <v>4</v>
      </c>
      <c r="D29" s="2">
        <f>VLOOKUP(B29,'Base de Dados'!$A$2:$B$7,2,FALSE)</f>
        <v>20</v>
      </c>
      <c r="E29" s="8">
        <f t="shared" ref="E29:E36" si="4">C29/D29</f>
        <v>0.2</v>
      </c>
    </row>
    <row r="30" spans="1:11" x14ac:dyDescent="0.25">
      <c r="A30" s="7" t="s">
        <v>14</v>
      </c>
      <c r="B30" s="2" t="str">
        <f>VLOOKUP(A30,'Base de Dados'!$D$2:$E$1048576,2,)</f>
        <v>Pleno</v>
      </c>
      <c r="C30" s="2">
        <v>8</v>
      </c>
      <c r="D30" s="2">
        <f>VLOOKUP(B30,'Base de Dados'!$A$2:$B$7,2,FALSE)</f>
        <v>20</v>
      </c>
      <c r="E30" s="8">
        <f t="shared" si="4"/>
        <v>0.4</v>
      </c>
    </row>
    <row r="31" spans="1:11" x14ac:dyDescent="0.25">
      <c r="A31" s="7" t="s">
        <v>15</v>
      </c>
      <c r="B31" s="2" t="str">
        <f>VLOOKUP(A31,'Base de Dados'!$D$2:$E$1048576,2,)</f>
        <v>Junior</v>
      </c>
      <c r="C31" s="2">
        <v>16</v>
      </c>
      <c r="D31" s="2">
        <f>VLOOKUP(B31,'Base de Dados'!$A$2:$B$7,2,FALSE)</f>
        <v>15</v>
      </c>
      <c r="E31" s="8">
        <f t="shared" si="4"/>
        <v>1.0666666666666667</v>
      </c>
    </row>
    <row r="32" spans="1:11" x14ac:dyDescent="0.25">
      <c r="A32" s="7" t="s">
        <v>16</v>
      </c>
      <c r="B32" s="2" t="str">
        <f>VLOOKUP(A32,'Base de Dados'!$D$2:$E$1048576,2,)</f>
        <v>Junior</v>
      </c>
      <c r="C32" s="2">
        <v>32</v>
      </c>
      <c r="D32" s="2">
        <f>VLOOKUP(B32,'Base de Dados'!$A$2:$B$7,2,FALSE)</f>
        <v>15</v>
      </c>
      <c r="E32" s="8">
        <f t="shared" si="4"/>
        <v>2.1333333333333333</v>
      </c>
    </row>
    <row r="33" spans="1:5" x14ac:dyDescent="0.25">
      <c r="A33" s="7" t="s">
        <v>17</v>
      </c>
      <c r="B33" s="2" t="str">
        <f>VLOOKUP(A33,'Base de Dados'!$D$2:$E$1048576,2,)</f>
        <v>Especialista</v>
      </c>
      <c r="C33" s="2">
        <v>64</v>
      </c>
      <c r="D33" s="2">
        <f>VLOOKUP(B33,'Base de Dados'!$A$2:$B$7,2,FALSE)</f>
        <v>30</v>
      </c>
      <c r="E33" s="8">
        <f t="shared" si="4"/>
        <v>2.1333333333333333</v>
      </c>
    </row>
    <row r="34" spans="1:5" x14ac:dyDescent="0.25">
      <c r="A34" s="7" t="s">
        <v>18</v>
      </c>
      <c r="B34" s="2" t="str">
        <f>VLOOKUP(A34,'Base de Dados'!$D$2:$E$1048576,2,)</f>
        <v>Junior</v>
      </c>
      <c r="C34" s="2">
        <v>128</v>
      </c>
      <c r="D34" s="2">
        <f>VLOOKUP(B34,'Base de Dados'!$A$2:$B$7,2,FALSE)</f>
        <v>15</v>
      </c>
      <c r="E34" s="8">
        <f t="shared" si="4"/>
        <v>8.5333333333333332</v>
      </c>
    </row>
    <row r="35" spans="1:5" x14ac:dyDescent="0.25">
      <c r="A35" s="7" t="s">
        <v>19</v>
      </c>
      <c r="B35" s="2" t="str">
        <f>VLOOKUP(A35,'Base de Dados'!$D$2:$E$1048576,2,)</f>
        <v>Junior</v>
      </c>
      <c r="C35" s="2">
        <v>256</v>
      </c>
      <c r="D35" s="2">
        <f>VLOOKUP(B35,'Base de Dados'!$A$2:$B$7,2,FALSE)</f>
        <v>15</v>
      </c>
      <c r="E35" s="8">
        <f t="shared" si="4"/>
        <v>17.066666666666666</v>
      </c>
    </row>
    <row r="36" spans="1:5" ht="15.75" thickBot="1" x14ac:dyDescent="0.3">
      <c r="A36" s="9" t="s">
        <v>20</v>
      </c>
      <c r="B36" s="10" t="str">
        <f>VLOOKUP(A36,'Base de Dados'!$D$2:$E$1048576,2,)</f>
        <v>Junior</v>
      </c>
      <c r="C36" s="10">
        <v>512</v>
      </c>
      <c r="D36" s="10">
        <f>VLOOKUP(B36,'Base de Dados'!$A$2:$B$7,2,FALSE)</f>
        <v>15</v>
      </c>
      <c r="E36" s="11">
        <f t="shared" si="4"/>
        <v>34.133333333333333</v>
      </c>
    </row>
  </sheetData>
  <mergeCells count="6">
    <mergeCell ref="A26:E26"/>
    <mergeCell ref="A1:K1"/>
    <mergeCell ref="A2:E2"/>
    <mergeCell ref="G2:K2"/>
    <mergeCell ref="A14:E14"/>
    <mergeCell ref="G14:K14"/>
  </mergeCells>
  <conditionalFormatting sqref="E16:E24">
    <cfRule type="dataBar" priority="5">
      <dataBar>
        <cfvo type="percent" val="0"/>
        <cfvo type="percent" val="100"/>
        <color theme="8" tint="-0.249977111117893"/>
      </dataBar>
      <extLst>
        <ext xmlns:x14="http://schemas.microsoft.com/office/spreadsheetml/2009/9/main" uri="{B025F937-C7B1-47D3-B67F-A62EFF666E3E}">
          <x14:id>{B28A5A32-C995-4A10-96B4-4F4AEBD391C8}</x14:id>
        </ext>
      </extLst>
    </cfRule>
  </conditionalFormatting>
  <conditionalFormatting sqref="E4:E12">
    <cfRule type="dataBar" priority="4">
      <dataBar>
        <cfvo type="percent" val="0"/>
        <cfvo type="percent" val="100"/>
        <color theme="8" tint="-0.249977111117893"/>
      </dataBar>
      <extLst>
        <ext xmlns:x14="http://schemas.microsoft.com/office/spreadsheetml/2009/9/main" uri="{B025F937-C7B1-47D3-B67F-A62EFF666E3E}">
          <x14:id>{CB856E93-7AC6-4880-AD11-E42962AFCB29}</x14:id>
        </ext>
      </extLst>
    </cfRule>
  </conditionalFormatting>
  <conditionalFormatting sqref="K4:K12">
    <cfRule type="dataBar" priority="3">
      <dataBar>
        <cfvo type="percent" val="0"/>
        <cfvo type="percent" val="100"/>
        <color theme="8" tint="-0.249977111117893"/>
      </dataBar>
      <extLst>
        <ext xmlns:x14="http://schemas.microsoft.com/office/spreadsheetml/2009/9/main" uri="{B025F937-C7B1-47D3-B67F-A62EFF666E3E}">
          <x14:id>{872764F5-D380-484B-AE6F-4FFD32E08A9A}</x14:id>
        </ext>
      </extLst>
    </cfRule>
  </conditionalFormatting>
  <conditionalFormatting sqref="K16:K24">
    <cfRule type="dataBar" priority="2">
      <dataBar>
        <cfvo type="percent" val="0"/>
        <cfvo type="percent" val="100"/>
        <color theme="8" tint="-0.249977111117893"/>
      </dataBar>
      <extLst>
        <ext xmlns:x14="http://schemas.microsoft.com/office/spreadsheetml/2009/9/main" uri="{B025F937-C7B1-47D3-B67F-A62EFF666E3E}">
          <x14:id>{FDF358A1-DC27-4DE8-AE05-999B2B1C25F9}</x14:id>
        </ext>
      </extLst>
    </cfRule>
  </conditionalFormatting>
  <conditionalFormatting sqref="E28:E36">
    <cfRule type="dataBar" priority="1">
      <dataBar>
        <cfvo type="percent" val="0"/>
        <cfvo type="percent" val="100"/>
        <color theme="8" tint="-0.249977111117893"/>
      </dataBar>
      <extLst>
        <ext xmlns:x14="http://schemas.microsoft.com/office/spreadsheetml/2009/9/main" uri="{B025F937-C7B1-47D3-B67F-A62EFF666E3E}">
          <x14:id>{137C7175-3861-44FD-8A1E-E9E5DE45535B}</x14:id>
        </ext>
      </extLst>
    </cfRule>
  </conditionalFormatting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28A5A32-C995-4A10-96B4-4F4AEBD391C8}">
            <x14:dataBar minLength="0" maxLength="100" direction="leftToRight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E16:E24</xm:sqref>
        </x14:conditionalFormatting>
        <x14:conditionalFormatting xmlns:xm="http://schemas.microsoft.com/office/excel/2006/main">
          <x14:cfRule type="dataBar" id="{CB856E93-7AC6-4880-AD11-E42962AFCB29}">
            <x14:dataBar minLength="0" maxLength="100" direction="leftToRight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E4:E12</xm:sqref>
        </x14:conditionalFormatting>
        <x14:conditionalFormatting xmlns:xm="http://schemas.microsoft.com/office/excel/2006/main">
          <x14:cfRule type="dataBar" id="{872764F5-D380-484B-AE6F-4FFD32E08A9A}">
            <x14:dataBar minLength="0" maxLength="100" direction="leftToRight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K4:K12</xm:sqref>
        </x14:conditionalFormatting>
        <x14:conditionalFormatting xmlns:xm="http://schemas.microsoft.com/office/excel/2006/main">
          <x14:cfRule type="dataBar" id="{FDF358A1-DC27-4DE8-AE05-999B2B1C25F9}">
            <x14:dataBar minLength="0" maxLength="100" direction="leftToRight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K16:K24</xm:sqref>
        </x14:conditionalFormatting>
        <x14:conditionalFormatting xmlns:xm="http://schemas.microsoft.com/office/excel/2006/main">
          <x14:cfRule type="dataBar" id="{137C7175-3861-44FD-8A1E-E9E5DE45535B}">
            <x14:dataBar minLength="0" maxLength="100" direction="leftToRight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E28:E36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C510C03-FADA-40E6-BAF9-5A84CF14C41B}">
          <x14:formula1>
            <xm:f>'Base de Dados'!$D$2:$D$1048576</xm:f>
          </x14:formula1>
          <xm:sqref>G4:G12 A4:A13 A16:A24 G16:G24 A28:A36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8A849-3EF5-43B9-8EF7-1163580CA639}">
  <sheetPr codeName="Planilha4"/>
  <dimension ref="A1:K36"/>
  <sheetViews>
    <sheetView showGridLines="0" workbookViewId="0">
      <selection activeCell="I17" sqref="I17"/>
    </sheetView>
  </sheetViews>
  <sheetFormatPr defaultRowHeight="15" x14ac:dyDescent="0.25"/>
  <cols>
    <col min="1" max="1" width="17.5703125" bestFit="1" customWidth="1"/>
    <col min="2" max="2" width="11.7109375" bestFit="1" customWidth="1"/>
    <col min="3" max="3" width="10.28515625" bestFit="1" customWidth="1"/>
    <col min="4" max="4" width="5.85546875" bestFit="1" customWidth="1"/>
    <col min="5" max="5" width="9.85546875" style="1" bestFit="1" customWidth="1"/>
    <col min="6" max="6" width="2.7109375" customWidth="1"/>
    <col min="7" max="7" width="17.5703125" bestFit="1" customWidth="1"/>
    <col min="8" max="8" width="11.7109375" bestFit="1" customWidth="1"/>
    <col min="9" max="9" width="10.28515625" bestFit="1" customWidth="1"/>
    <col min="10" max="10" width="5.85546875" bestFit="1" customWidth="1"/>
    <col min="11" max="11" width="8.7109375" bestFit="1" customWidth="1"/>
  </cols>
  <sheetData>
    <row r="1" spans="1:11" ht="19.5" thickBot="1" x14ac:dyDescent="0.45">
      <c r="A1" s="21" t="s">
        <v>27</v>
      </c>
      <c r="B1" s="21"/>
      <c r="C1" s="21"/>
      <c r="D1" s="21"/>
      <c r="E1" s="21"/>
      <c r="F1" s="21"/>
      <c r="G1" s="21"/>
      <c r="H1" s="21"/>
      <c r="I1" s="21"/>
      <c r="J1" s="21"/>
      <c r="K1" s="21"/>
    </row>
    <row r="2" spans="1:11" x14ac:dyDescent="0.25">
      <c r="A2" s="18" t="s">
        <v>22</v>
      </c>
      <c r="B2" s="19"/>
      <c r="C2" s="19"/>
      <c r="D2" s="19"/>
      <c r="E2" s="20"/>
      <c r="G2" s="18" t="s">
        <v>23</v>
      </c>
      <c r="H2" s="19"/>
      <c r="I2" s="19"/>
      <c r="J2" s="19"/>
      <c r="K2" s="20"/>
    </row>
    <row r="3" spans="1:11" x14ac:dyDescent="0.25">
      <c r="A3" s="5" t="s">
        <v>0</v>
      </c>
      <c r="B3" s="4" t="s">
        <v>4</v>
      </c>
      <c r="C3" s="4" t="s">
        <v>1</v>
      </c>
      <c r="D3" s="4" t="s">
        <v>3</v>
      </c>
      <c r="E3" s="6" t="s">
        <v>9</v>
      </c>
      <c r="G3" s="5" t="s">
        <v>0</v>
      </c>
      <c r="H3" s="4" t="s">
        <v>4</v>
      </c>
      <c r="I3" s="4" t="s">
        <v>1</v>
      </c>
      <c r="J3" s="4" t="s">
        <v>3</v>
      </c>
      <c r="K3" s="6" t="s">
        <v>9</v>
      </c>
    </row>
    <row r="4" spans="1:11" x14ac:dyDescent="0.25">
      <c r="A4" s="7" t="s">
        <v>8</v>
      </c>
      <c r="B4" s="2" t="str">
        <f>VLOOKUP(A4,'Base de Dados'!$D$2:$E$1048576,2,)</f>
        <v>Pleno</v>
      </c>
      <c r="C4" s="2">
        <v>1</v>
      </c>
      <c r="D4" s="2">
        <f>VLOOKUP(B4,'Base de Dados'!$A$2:$B$7,2,FALSE)</f>
        <v>20</v>
      </c>
      <c r="E4" s="8">
        <f>C4/D4</f>
        <v>0.05</v>
      </c>
      <c r="G4" s="7" t="s">
        <v>8</v>
      </c>
      <c r="H4" s="2" t="str">
        <f>VLOOKUP(G4,'Base de Dados'!$D$2:$E$1048576,2,)</f>
        <v>Pleno</v>
      </c>
      <c r="I4" s="2">
        <v>9</v>
      </c>
      <c r="J4" s="2">
        <f>VLOOKUP(H4,'Base de Dados'!$A$2:$B$7,2,FALSE)</f>
        <v>20</v>
      </c>
      <c r="K4" s="8">
        <f>I4/J4</f>
        <v>0.45</v>
      </c>
    </row>
    <row r="5" spans="1:11" x14ac:dyDescent="0.25">
      <c r="A5" s="7" t="s">
        <v>13</v>
      </c>
      <c r="B5" s="2" t="str">
        <f>VLOOKUP(A5,'Base de Dados'!$D$2:$E$1048576,2,)</f>
        <v>Pleno</v>
      </c>
      <c r="C5" s="2">
        <v>2</v>
      </c>
      <c r="D5" s="2">
        <f>VLOOKUP(B5,'Base de Dados'!$A$2:$B$7,2,FALSE)</f>
        <v>20</v>
      </c>
      <c r="E5" s="8">
        <f t="shared" ref="E5:E12" si="0">C5/D5</f>
        <v>0.1</v>
      </c>
      <c r="G5" s="7" t="s">
        <v>13</v>
      </c>
      <c r="H5" s="2" t="str">
        <f>VLOOKUP(G5,'Base de Dados'!$D$2:$E$1048576,2,)</f>
        <v>Pleno</v>
      </c>
      <c r="I5" s="2">
        <v>8</v>
      </c>
      <c r="J5" s="2">
        <f>VLOOKUP(H5,'Base de Dados'!$A$2:$B$7,2,FALSE)</f>
        <v>20</v>
      </c>
      <c r="K5" s="8">
        <f t="shared" ref="K5:K12" si="1">I5/J5</f>
        <v>0.4</v>
      </c>
    </row>
    <row r="6" spans="1:11" x14ac:dyDescent="0.25">
      <c r="A6" s="7" t="s">
        <v>14</v>
      </c>
      <c r="B6" s="2" t="str">
        <f>VLOOKUP(A6,'Base de Dados'!$D$2:$E$1048576,2,)</f>
        <v>Pleno</v>
      </c>
      <c r="C6" s="2">
        <v>3</v>
      </c>
      <c r="D6" s="2">
        <f>VLOOKUP(B6,'Base de Dados'!$A$2:$B$7,2,FALSE)</f>
        <v>20</v>
      </c>
      <c r="E6" s="8">
        <f t="shared" si="0"/>
        <v>0.15</v>
      </c>
      <c r="G6" s="7" t="s">
        <v>14</v>
      </c>
      <c r="H6" s="2" t="str">
        <f>VLOOKUP(G6,'Base de Dados'!$D$2:$E$1048576,2,)</f>
        <v>Pleno</v>
      </c>
      <c r="I6" s="2">
        <v>7</v>
      </c>
      <c r="J6" s="2">
        <f>VLOOKUP(H6,'Base de Dados'!$A$2:$B$7,2,FALSE)</f>
        <v>20</v>
      </c>
      <c r="K6" s="8">
        <f t="shared" si="1"/>
        <v>0.35</v>
      </c>
    </row>
    <row r="7" spans="1:11" x14ac:dyDescent="0.25">
      <c r="A7" s="7" t="s">
        <v>15</v>
      </c>
      <c r="B7" s="2" t="str">
        <f>VLOOKUP(A7,'Base de Dados'!$D$2:$E$1048576,2,)</f>
        <v>Junior</v>
      </c>
      <c r="C7" s="2">
        <v>4</v>
      </c>
      <c r="D7" s="2">
        <f>VLOOKUP(B7,'Base de Dados'!$A$2:$B$7,2,FALSE)</f>
        <v>15</v>
      </c>
      <c r="E7" s="8">
        <f t="shared" si="0"/>
        <v>0.26666666666666666</v>
      </c>
      <c r="G7" s="7" t="s">
        <v>15</v>
      </c>
      <c r="H7" s="2" t="str">
        <f>VLOOKUP(G7,'Base de Dados'!$D$2:$E$1048576,2,)</f>
        <v>Junior</v>
      </c>
      <c r="I7" s="2">
        <v>6</v>
      </c>
      <c r="J7" s="2">
        <f>VLOOKUP(H7,'Base de Dados'!$A$2:$B$7,2,FALSE)</f>
        <v>15</v>
      </c>
      <c r="K7" s="8">
        <f t="shared" si="1"/>
        <v>0.4</v>
      </c>
    </row>
    <row r="8" spans="1:11" x14ac:dyDescent="0.25">
      <c r="A8" s="7" t="s">
        <v>16</v>
      </c>
      <c r="B8" s="2" t="str">
        <f>VLOOKUP(A8,'Base de Dados'!$D$2:$E$1048576,2,)</f>
        <v>Junior</v>
      </c>
      <c r="C8" s="2">
        <v>5</v>
      </c>
      <c r="D8" s="2">
        <f>VLOOKUP(B8,'Base de Dados'!$A$2:$B$7,2,FALSE)</f>
        <v>15</v>
      </c>
      <c r="E8" s="8">
        <f t="shared" si="0"/>
        <v>0.33333333333333331</v>
      </c>
      <c r="G8" s="7" t="s">
        <v>16</v>
      </c>
      <c r="H8" s="2" t="str">
        <f>VLOOKUP(G8,'Base de Dados'!$D$2:$E$1048576,2,)</f>
        <v>Junior</v>
      </c>
      <c r="I8" s="2">
        <v>5</v>
      </c>
      <c r="J8" s="2">
        <f>VLOOKUP(H8,'Base de Dados'!$A$2:$B$7,2,FALSE)</f>
        <v>15</v>
      </c>
      <c r="K8" s="8">
        <f t="shared" si="1"/>
        <v>0.33333333333333331</v>
      </c>
    </row>
    <row r="9" spans="1:11" x14ac:dyDescent="0.25">
      <c r="A9" s="7" t="s">
        <v>17</v>
      </c>
      <c r="B9" s="2" t="str">
        <f>VLOOKUP(A9,'Base de Dados'!$D$2:$E$1048576,2,)</f>
        <v>Especialista</v>
      </c>
      <c r="C9" s="2">
        <v>6</v>
      </c>
      <c r="D9" s="2">
        <f>VLOOKUP(B9,'Base de Dados'!$A$2:$B$7,2,FALSE)</f>
        <v>30</v>
      </c>
      <c r="E9" s="8">
        <f t="shared" si="0"/>
        <v>0.2</v>
      </c>
      <c r="G9" s="7" t="s">
        <v>17</v>
      </c>
      <c r="H9" s="2" t="str">
        <f>VLOOKUP(G9,'Base de Dados'!$D$2:$E$1048576,2,)</f>
        <v>Especialista</v>
      </c>
      <c r="I9" s="2">
        <v>4</v>
      </c>
      <c r="J9" s="2">
        <f>VLOOKUP(H9,'Base de Dados'!$A$2:$B$7,2,FALSE)</f>
        <v>30</v>
      </c>
      <c r="K9" s="8">
        <f t="shared" si="1"/>
        <v>0.13333333333333333</v>
      </c>
    </row>
    <row r="10" spans="1:11" x14ac:dyDescent="0.25">
      <c r="A10" s="7" t="s">
        <v>18</v>
      </c>
      <c r="B10" s="2" t="str">
        <f>VLOOKUP(A10,'Base de Dados'!$D$2:$E$1048576,2,)</f>
        <v>Junior</v>
      </c>
      <c r="C10" s="2">
        <v>7</v>
      </c>
      <c r="D10" s="2">
        <f>VLOOKUP(B10,'Base de Dados'!$A$2:$B$7,2,FALSE)</f>
        <v>15</v>
      </c>
      <c r="E10" s="8">
        <f t="shared" si="0"/>
        <v>0.46666666666666667</v>
      </c>
      <c r="G10" s="7" t="s">
        <v>18</v>
      </c>
      <c r="H10" s="2" t="str">
        <f>VLOOKUP(G10,'Base de Dados'!$D$2:$E$1048576,2,)</f>
        <v>Junior</v>
      </c>
      <c r="I10" s="2">
        <v>3</v>
      </c>
      <c r="J10" s="2">
        <f>VLOOKUP(H10,'Base de Dados'!$A$2:$B$7,2,FALSE)</f>
        <v>15</v>
      </c>
      <c r="K10" s="8">
        <f t="shared" si="1"/>
        <v>0.2</v>
      </c>
    </row>
    <row r="11" spans="1:11" x14ac:dyDescent="0.25">
      <c r="A11" s="7" t="s">
        <v>19</v>
      </c>
      <c r="B11" s="2" t="str">
        <f>VLOOKUP(A11,'Base de Dados'!$D$2:$E$1048576,2,)</f>
        <v>Junior</v>
      </c>
      <c r="C11" s="2">
        <v>8</v>
      </c>
      <c r="D11" s="2">
        <f>VLOOKUP(B11,'Base de Dados'!$A$2:$B$7,2,FALSE)</f>
        <v>15</v>
      </c>
      <c r="E11" s="8">
        <f t="shared" si="0"/>
        <v>0.53333333333333333</v>
      </c>
      <c r="G11" s="7" t="s">
        <v>19</v>
      </c>
      <c r="H11" s="2" t="str">
        <f>VLOOKUP(G11,'Base de Dados'!$D$2:$E$1048576,2,)</f>
        <v>Junior</v>
      </c>
      <c r="I11" s="2">
        <v>2</v>
      </c>
      <c r="J11" s="2">
        <f>VLOOKUP(H11,'Base de Dados'!$A$2:$B$7,2,FALSE)</f>
        <v>15</v>
      </c>
      <c r="K11" s="8">
        <f t="shared" si="1"/>
        <v>0.13333333333333333</v>
      </c>
    </row>
    <row r="12" spans="1:11" ht="15.75" thickBot="1" x14ac:dyDescent="0.3">
      <c r="A12" s="9" t="s">
        <v>20</v>
      </c>
      <c r="B12" s="10" t="str">
        <f>VLOOKUP(A12,'Base de Dados'!$D$2:$E$1048576,2,)</f>
        <v>Junior</v>
      </c>
      <c r="C12" s="10">
        <v>9</v>
      </c>
      <c r="D12" s="10">
        <f>VLOOKUP(B12,'Base de Dados'!$A$2:$B$7,2,FALSE)</f>
        <v>15</v>
      </c>
      <c r="E12" s="11">
        <f t="shared" si="0"/>
        <v>0.6</v>
      </c>
      <c r="G12" s="9" t="s">
        <v>20</v>
      </c>
      <c r="H12" s="10" t="str">
        <f>VLOOKUP(G12,'Base de Dados'!$D$2:$E$1048576,2,)</f>
        <v>Junior</v>
      </c>
      <c r="I12" s="10">
        <v>1</v>
      </c>
      <c r="J12" s="10">
        <f>VLOOKUP(H12,'Base de Dados'!$A$2:$B$7,2,FALSE)</f>
        <v>15</v>
      </c>
      <c r="K12" s="11">
        <f t="shared" si="1"/>
        <v>6.6666666666666666E-2</v>
      </c>
    </row>
    <row r="13" spans="1:11" ht="15.75" thickBot="1" x14ac:dyDescent="0.3"/>
    <row r="14" spans="1:11" x14ac:dyDescent="0.25">
      <c r="A14" s="18" t="s">
        <v>24</v>
      </c>
      <c r="B14" s="19"/>
      <c r="C14" s="19"/>
      <c r="D14" s="19"/>
      <c r="E14" s="20"/>
      <c r="G14" s="18" t="s">
        <v>25</v>
      </c>
      <c r="H14" s="19"/>
      <c r="I14" s="19"/>
      <c r="J14" s="19"/>
      <c r="K14" s="20"/>
    </row>
    <row r="15" spans="1:11" x14ac:dyDescent="0.25">
      <c r="A15" s="5" t="s">
        <v>0</v>
      </c>
      <c r="B15" s="4" t="s">
        <v>4</v>
      </c>
      <c r="C15" s="4" t="s">
        <v>1</v>
      </c>
      <c r="D15" s="4" t="s">
        <v>3</v>
      </c>
      <c r="E15" s="6" t="s">
        <v>9</v>
      </c>
      <c r="G15" s="5" t="s">
        <v>0</v>
      </c>
      <c r="H15" s="4" t="s">
        <v>4</v>
      </c>
      <c r="I15" s="4" t="s">
        <v>1</v>
      </c>
      <c r="J15" s="4" t="s">
        <v>3</v>
      </c>
      <c r="K15" s="6" t="s">
        <v>9</v>
      </c>
    </row>
    <row r="16" spans="1:11" x14ac:dyDescent="0.25">
      <c r="A16" s="7" t="s">
        <v>8</v>
      </c>
      <c r="B16" s="2" t="str">
        <f>VLOOKUP(A16,'Base de Dados'!$D$2:$E$1048576,2,)</f>
        <v>Pleno</v>
      </c>
      <c r="C16" s="2">
        <v>2</v>
      </c>
      <c r="D16" s="2">
        <f>VLOOKUP(B16,'Base de Dados'!$A$2:$B$7,2,FALSE)</f>
        <v>20</v>
      </c>
      <c r="E16" s="8">
        <f>C16/D16</f>
        <v>0.1</v>
      </c>
      <c r="G16" s="7" t="s">
        <v>8</v>
      </c>
      <c r="H16" s="2" t="str">
        <f>VLOOKUP(G16,'Base de Dados'!$D$2:$E$1048576,2,)</f>
        <v>Pleno</v>
      </c>
      <c r="I16" s="2">
        <v>1</v>
      </c>
      <c r="J16" s="2">
        <f>VLOOKUP(H16,'Base de Dados'!$A$2:$B$7,2,FALSE)</f>
        <v>20</v>
      </c>
      <c r="K16" s="8">
        <f>I16/J16</f>
        <v>0.05</v>
      </c>
    </row>
    <row r="17" spans="1:11" x14ac:dyDescent="0.25">
      <c r="A17" s="7" t="s">
        <v>13</v>
      </c>
      <c r="B17" s="2" t="str">
        <f>VLOOKUP(A17,'Base de Dados'!$D$2:$E$1048576,2,)</f>
        <v>Pleno</v>
      </c>
      <c r="C17" s="2">
        <v>4</v>
      </c>
      <c r="D17" s="2">
        <f>VLOOKUP(B17,'Base de Dados'!$A$2:$B$7,2,FALSE)</f>
        <v>20</v>
      </c>
      <c r="E17" s="8">
        <f t="shared" ref="E17:E24" si="2">C17/D17</f>
        <v>0.2</v>
      </c>
      <c r="G17" s="7" t="s">
        <v>13</v>
      </c>
      <c r="H17" s="2" t="str">
        <f>VLOOKUP(G17,'Base de Dados'!$D$2:$E$1048576,2,)</f>
        <v>Pleno</v>
      </c>
      <c r="I17" s="2">
        <v>2</v>
      </c>
      <c r="J17" s="2">
        <f>VLOOKUP(H17,'Base de Dados'!$A$2:$B$7,2,FALSE)</f>
        <v>20</v>
      </c>
      <c r="K17" s="8">
        <f t="shared" ref="K17:K24" si="3">I17/J17</f>
        <v>0.1</v>
      </c>
    </row>
    <row r="18" spans="1:11" x14ac:dyDescent="0.25">
      <c r="A18" s="7" t="s">
        <v>14</v>
      </c>
      <c r="B18" s="2" t="str">
        <f>VLOOKUP(A18,'Base de Dados'!$D$2:$E$1048576,2,)</f>
        <v>Pleno</v>
      </c>
      <c r="C18" s="2">
        <v>6</v>
      </c>
      <c r="D18" s="2">
        <f>VLOOKUP(B18,'Base de Dados'!$A$2:$B$7,2,FALSE)</f>
        <v>20</v>
      </c>
      <c r="E18" s="8">
        <f t="shared" si="2"/>
        <v>0.3</v>
      </c>
      <c r="G18" s="7" t="s">
        <v>14</v>
      </c>
      <c r="H18" s="2" t="str">
        <f>VLOOKUP(G18,'Base de Dados'!$D$2:$E$1048576,2,)</f>
        <v>Pleno</v>
      </c>
      <c r="I18" s="2">
        <v>3</v>
      </c>
      <c r="J18" s="2">
        <f>VLOOKUP(H18,'Base de Dados'!$A$2:$B$7,2,FALSE)</f>
        <v>20</v>
      </c>
      <c r="K18" s="8">
        <f t="shared" si="3"/>
        <v>0.15</v>
      </c>
    </row>
    <row r="19" spans="1:11" x14ac:dyDescent="0.25">
      <c r="A19" s="7" t="s">
        <v>15</v>
      </c>
      <c r="B19" s="2" t="str">
        <f>VLOOKUP(A19,'Base de Dados'!$D$2:$E$1048576,2,)</f>
        <v>Junior</v>
      </c>
      <c r="C19" s="2">
        <v>8</v>
      </c>
      <c r="D19" s="2">
        <f>VLOOKUP(B19,'Base de Dados'!$A$2:$B$7,2,FALSE)</f>
        <v>15</v>
      </c>
      <c r="E19" s="8">
        <f t="shared" si="2"/>
        <v>0.53333333333333333</v>
      </c>
      <c r="G19" s="7" t="s">
        <v>15</v>
      </c>
      <c r="H19" s="2" t="str">
        <f>VLOOKUP(G19,'Base de Dados'!$D$2:$E$1048576,2,)</f>
        <v>Junior</v>
      </c>
      <c r="I19" s="2">
        <v>5</v>
      </c>
      <c r="J19" s="2">
        <f>VLOOKUP(H19,'Base de Dados'!$A$2:$B$7,2,FALSE)</f>
        <v>15</v>
      </c>
      <c r="K19" s="8">
        <f t="shared" si="3"/>
        <v>0.33333333333333331</v>
      </c>
    </row>
    <row r="20" spans="1:11" x14ac:dyDescent="0.25">
      <c r="A20" s="7" t="s">
        <v>16</v>
      </c>
      <c r="B20" s="2" t="str">
        <f>VLOOKUP(A20,'Base de Dados'!$D$2:$E$1048576,2,)</f>
        <v>Junior</v>
      </c>
      <c r="C20" s="2">
        <v>10</v>
      </c>
      <c r="D20" s="2">
        <f>VLOOKUP(B20,'Base de Dados'!$A$2:$B$7,2,FALSE)</f>
        <v>15</v>
      </c>
      <c r="E20" s="8">
        <f t="shared" si="2"/>
        <v>0.66666666666666663</v>
      </c>
      <c r="G20" s="7" t="s">
        <v>16</v>
      </c>
      <c r="H20" s="2" t="str">
        <f>VLOOKUP(G20,'Base de Dados'!$D$2:$E$1048576,2,)</f>
        <v>Junior</v>
      </c>
      <c r="I20" s="2">
        <v>8</v>
      </c>
      <c r="J20" s="2">
        <f>VLOOKUP(H20,'Base de Dados'!$A$2:$B$7,2,FALSE)</f>
        <v>15</v>
      </c>
      <c r="K20" s="8">
        <f t="shared" si="3"/>
        <v>0.53333333333333333</v>
      </c>
    </row>
    <row r="21" spans="1:11" x14ac:dyDescent="0.25">
      <c r="A21" s="7" t="s">
        <v>17</v>
      </c>
      <c r="B21" s="2" t="str">
        <f>VLOOKUP(A21,'Base de Dados'!$D$2:$E$1048576,2,)</f>
        <v>Especialista</v>
      </c>
      <c r="C21" s="2">
        <v>12</v>
      </c>
      <c r="D21" s="2">
        <f>VLOOKUP(B21,'Base de Dados'!$A$2:$B$7,2,FALSE)</f>
        <v>30</v>
      </c>
      <c r="E21" s="8">
        <f t="shared" si="2"/>
        <v>0.4</v>
      </c>
      <c r="G21" s="7" t="s">
        <v>17</v>
      </c>
      <c r="H21" s="2" t="str">
        <f>VLOOKUP(G21,'Base de Dados'!$D$2:$E$1048576,2,)</f>
        <v>Especialista</v>
      </c>
      <c r="I21" s="2">
        <v>13</v>
      </c>
      <c r="J21" s="2">
        <f>VLOOKUP(H21,'Base de Dados'!$A$2:$B$7,2,FALSE)</f>
        <v>30</v>
      </c>
      <c r="K21" s="8">
        <f t="shared" si="3"/>
        <v>0.43333333333333335</v>
      </c>
    </row>
    <row r="22" spans="1:11" x14ac:dyDescent="0.25">
      <c r="A22" s="7" t="s">
        <v>18</v>
      </c>
      <c r="B22" s="2" t="str">
        <f>VLOOKUP(A22,'Base de Dados'!$D$2:$E$1048576,2,)</f>
        <v>Junior</v>
      </c>
      <c r="C22" s="2">
        <v>14</v>
      </c>
      <c r="D22" s="2">
        <f>VLOOKUP(B22,'Base de Dados'!$A$2:$B$7,2,FALSE)</f>
        <v>15</v>
      </c>
      <c r="E22" s="8">
        <f t="shared" si="2"/>
        <v>0.93333333333333335</v>
      </c>
      <c r="G22" s="7" t="s">
        <v>18</v>
      </c>
      <c r="H22" s="2" t="str">
        <f>VLOOKUP(G22,'Base de Dados'!$D$2:$E$1048576,2,)</f>
        <v>Junior</v>
      </c>
      <c r="I22" s="2">
        <v>21</v>
      </c>
      <c r="J22" s="2">
        <f>VLOOKUP(H22,'Base de Dados'!$A$2:$B$7,2,FALSE)</f>
        <v>15</v>
      </c>
      <c r="K22" s="8">
        <f t="shared" si="3"/>
        <v>1.4</v>
      </c>
    </row>
    <row r="23" spans="1:11" x14ac:dyDescent="0.25">
      <c r="A23" s="7" t="s">
        <v>19</v>
      </c>
      <c r="B23" s="2" t="str">
        <f>VLOOKUP(A23,'Base de Dados'!$D$2:$E$1048576,2,)</f>
        <v>Junior</v>
      </c>
      <c r="C23" s="2">
        <v>16</v>
      </c>
      <c r="D23" s="2">
        <f>VLOOKUP(B23,'Base de Dados'!$A$2:$B$7,2,FALSE)</f>
        <v>15</v>
      </c>
      <c r="E23" s="8">
        <f t="shared" si="2"/>
        <v>1.0666666666666667</v>
      </c>
      <c r="G23" s="7" t="s">
        <v>19</v>
      </c>
      <c r="H23" s="2" t="str">
        <f>VLOOKUP(G23,'Base de Dados'!$D$2:$E$1048576,2,)</f>
        <v>Junior</v>
      </c>
      <c r="I23" s="2">
        <v>44</v>
      </c>
      <c r="J23" s="2">
        <f>VLOOKUP(H23,'Base de Dados'!$A$2:$B$7,2,FALSE)</f>
        <v>15</v>
      </c>
      <c r="K23" s="8">
        <f t="shared" si="3"/>
        <v>2.9333333333333331</v>
      </c>
    </row>
    <row r="24" spans="1:11" ht="15.75" thickBot="1" x14ac:dyDescent="0.3">
      <c r="A24" s="9" t="s">
        <v>20</v>
      </c>
      <c r="B24" s="10" t="str">
        <f>VLOOKUP(A24,'Base de Dados'!$D$2:$E$1048576,2,)</f>
        <v>Junior</v>
      </c>
      <c r="C24" s="10">
        <v>18</v>
      </c>
      <c r="D24" s="10">
        <f>VLOOKUP(B24,'Base de Dados'!$A$2:$B$7,2,FALSE)</f>
        <v>15</v>
      </c>
      <c r="E24" s="11">
        <f t="shared" si="2"/>
        <v>1.2</v>
      </c>
      <c r="G24" s="9" t="s">
        <v>20</v>
      </c>
      <c r="H24" s="10" t="str">
        <f>VLOOKUP(G24,'Base de Dados'!$D$2:$E$1048576,2,)</f>
        <v>Junior</v>
      </c>
      <c r="I24" s="10">
        <v>65</v>
      </c>
      <c r="J24" s="10">
        <f>VLOOKUP(H24,'Base de Dados'!$A$2:$B$7,2,FALSE)</f>
        <v>15</v>
      </c>
      <c r="K24" s="11">
        <f t="shared" si="3"/>
        <v>4.333333333333333</v>
      </c>
    </row>
    <row r="25" spans="1:11" ht="15.75" thickBot="1" x14ac:dyDescent="0.3"/>
    <row r="26" spans="1:11" x14ac:dyDescent="0.25">
      <c r="A26" s="18" t="s">
        <v>26</v>
      </c>
      <c r="B26" s="19"/>
      <c r="C26" s="19"/>
      <c r="D26" s="19"/>
      <c r="E26" s="20"/>
    </row>
    <row r="27" spans="1:11" x14ac:dyDescent="0.25">
      <c r="A27" s="5" t="s">
        <v>0</v>
      </c>
      <c r="B27" s="4" t="s">
        <v>4</v>
      </c>
      <c r="C27" s="4" t="s">
        <v>1</v>
      </c>
      <c r="D27" s="4" t="s">
        <v>3</v>
      </c>
      <c r="E27" s="6" t="s">
        <v>9</v>
      </c>
    </row>
    <row r="28" spans="1:11" x14ac:dyDescent="0.25">
      <c r="A28" s="7" t="s">
        <v>8</v>
      </c>
      <c r="B28" s="2" t="str">
        <f>VLOOKUP(A28,'Base de Dados'!$D$2:$E$1048576,2,)</f>
        <v>Pleno</v>
      </c>
      <c r="C28" s="2">
        <v>2</v>
      </c>
      <c r="D28" s="2">
        <f>VLOOKUP(B28,'Base de Dados'!$A$2:$B$7,2,FALSE)</f>
        <v>20</v>
      </c>
      <c r="E28" s="8">
        <f>C28/D28</f>
        <v>0.1</v>
      </c>
    </row>
    <row r="29" spans="1:11" x14ac:dyDescent="0.25">
      <c r="A29" s="7" t="s">
        <v>13</v>
      </c>
      <c r="B29" s="2" t="str">
        <f>VLOOKUP(A29,'Base de Dados'!$D$2:$E$1048576,2,)</f>
        <v>Pleno</v>
      </c>
      <c r="C29" s="2">
        <v>4</v>
      </c>
      <c r="D29" s="2">
        <f>VLOOKUP(B29,'Base de Dados'!$A$2:$B$7,2,FALSE)</f>
        <v>20</v>
      </c>
      <c r="E29" s="8">
        <f t="shared" ref="E29:E36" si="4">C29/D29</f>
        <v>0.2</v>
      </c>
    </row>
    <row r="30" spans="1:11" x14ac:dyDescent="0.25">
      <c r="A30" s="7" t="s">
        <v>14</v>
      </c>
      <c r="B30" s="2" t="str">
        <f>VLOOKUP(A30,'Base de Dados'!$D$2:$E$1048576,2,)</f>
        <v>Pleno</v>
      </c>
      <c r="C30" s="2">
        <v>8</v>
      </c>
      <c r="D30" s="2">
        <f>VLOOKUP(B30,'Base de Dados'!$A$2:$B$7,2,FALSE)</f>
        <v>20</v>
      </c>
      <c r="E30" s="8">
        <f t="shared" si="4"/>
        <v>0.4</v>
      </c>
    </row>
    <row r="31" spans="1:11" x14ac:dyDescent="0.25">
      <c r="A31" s="7" t="s">
        <v>15</v>
      </c>
      <c r="B31" s="2" t="str">
        <f>VLOOKUP(A31,'Base de Dados'!$D$2:$E$1048576,2,)</f>
        <v>Junior</v>
      </c>
      <c r="C31" s="2">
        <v>16</v>
      </c>
      <c r="D31" s="2">
        <f>VLOOKUP(B31,'Base de Dados'!$A$2:$B$7,2,FALSE)</f>
        <v>15</v>
      </c>
      <c r="E31" s="8">
        <f t="shared" si="4"/>
        <v>1.0666666666666667</v>
      </c>
    </row>
    <row r="32" spans="1:11" x14ac:dyDescent="0.25">
      <c r="A32" s="7" t="s">
        <v>16</v>
      </c>
      <c r="B32" s="2" t="str">
        <f>VLOOKUP(A32,'Base de Dados'!$D$2:$E$1048576,2,)</f>
        <v>Junior</v>
      </c>
      <c r="C32" s="2">
        <v>32</v>
      </c>
      <c r="D32" s="2">
        <f>VLOOKUP(B32,'Base de Dados'!$A$2:$B$7,2,FALSE)</f>
        <v>15</v>
      </c>
      <c r="E32" s="8">
        <f t="shared" si="4"/>
        <v>2.1333333333333333</v>
      </c>
    </row>
    <row r="33" spans="1:5" x14ac:dyDescent="0.25">
      <c r="A33" s="7" t="s">
        <v>17</v>
      </c>
      <c r="B33" s="2" t="str">
        <f>VLOOKUP(A33,'Base de Dados'!$D$2:$E$1048576,2,)</f>
        <v>Especialista</v>
      </c>
      <c r="C33" s="2">
        <v>64</v>
      </c>
      <c r="D33" s="2">
        <f>VLOOKUP(B33,'Base de Dados'!$A$2:$B$7,2,FALSE)</f>
        <v>30</v>
      </c>
      <c r="E33" s="8">
        <f t="shared" si="4"/>
        <v>2.1333333333333333</v>
      </c>
    </row>
    <row r="34" spans="1:5" x14ac:dyDescent="0.25">
      <c r="A34" s="7" t="s">
        <v>18</v>
      </c>
      <c r="B34" s="2" t="str">
        <f>VLOOKUP(A34,'Base de Dados'!$D$2:$E$1048576,2,)</f>
        <v>Junior</v>
      </c>
      <c r="C34" s="2">
        <v>128</v>
      </c>
      <c r="D34" s="2">
        <f>VLOOKUP(B34,'Base de Dados'!$A$2:$B$7,2,FALSE)</f>
        <v>15</v>
      </c>
      <c r="E34" s="8">
        <f t="shared" si="4"/>
        <v>8.5333333333333332</v>
      </c>
    </row>
    <row r="35" spans="1:5" x14ac:dyDescent="0.25">
      <c r="A35" s="7" t="s">
        <v>19</v>
      </c>
      <c r="B35" s="2" t="str">
        <f>VLOOKUP(A35,'Base de Dados'!$D$2:$E$1048576,2,)</f>
        <v>Junior</v>
      </c>
      <c r="C35" s="2">
        <v>256</v>
      </c>
      <c r="D35" s="2">
        <f>VLOOKUP(B35,'Base de Dados'!$A$2:$B$7,2,FALSE)</f>
        <v>15</v>
      </c>
      <c r="E35" s="8">
        <f t="shared" si="4"/>
        <v>17.066666666666666</v>
      </c>
    </row>
    <row r="36" spans="1:5" ht="15.75" thickBot="1" x14ac:dyDescent="0.3">
      <c r="A36" s="9" t="s">
        <v>20</v>
      </c>
      <c r="B36" s="10" t="str">
        <f>VLOOKUP(A36,'Base de Dados'!$D$2:$E$1048576,2,)</f>
        <v>Junior</v>
      </c>
      <c r="C36" s="10">
        <v>512</v>
      </c>
      <c r="D36" s="10">
        <f>VLOOKUP(B36,'Base de Dados'!$A$2:$B$7,2,FALSE)</f>
        <v>15</v>
      </c>
      <c r="E36" s="11">
        <f t="shared" si="4"/>
        <v>34.133333333333333</v>
      </c>
    </row>
  </sheetData>
  <mergeCells count="6">
    <mergeCell ref="A26:E26"/>
    <mergeCell ref="A1:K1"/>
    <mergeCell ref="A2:E2"/>
    <mergeCell ref="G2:K2"/>
    <mergeCell ref="A14:E14"/>
    <mergeCell ref="G14:K14"/>
  </mergeCells>
  <conditionalFormatting sqref="E16:E24">
    <cfRule type="dataBar" priority="5">
      <dataBar>
        <cfvo type="percent" val="0"/>
        <cfvo type="percent" val="100"/>
        <color theme="8" tint="-0.249977111117893"/>
      </dataBar>
      <extLst>
        <ext xmlns:x14="http://schemas.microsoft.com/office/spreadsheetml/2009/9/main" uri="{B025F937-C7B1-47D3-B67F-A62EFF666E3E}">
          <x14:id>{30C8D382-4ECE-4D57-9475-9C51AD692FF5}</x14:id>
        </ext>
      </extLst>
    </cfRule>
  </conditionalFormatting>
  <conditionalFormatting sqref="E4:E12">
    <cfRule type="dataBar" priority="4">
      <dataBar>
        <cfvo type="percent" val="0"/>
        <cfvo type="percent" val="100"/>
        <color theme="8" tint="-0.249977111117893"/>
      </dataBar>
      <extLst>
        <ext xmlns:x14="http://schemas.microsoft.com/office/spreadsheetml/2009/9/main" uri="{B025F937-C7B1-47D3-B67F-A62EFF666E3E}">
          <x14:id>{312AD715-4D74-4647-AEFC-81282D71E90E}</x14:id>
        </ext>
      </extLst>
    </cfRule>
  </conditionalFormatting>
  <conditionalFormatting sqref="K4:K12">
    <cfRule type="dataBar" priority="3">
      <dataBar>
        <cfvo type="percent" val="0"/>
        <cfvo type="percent" val="100"/>
        <color theme="8" tint="-0.249977111117893"/>
      </dataBar>
      <extLst>
        <ext xmlns:x14="http://schemas.microsoft.com/office/spreadsheetml/2009/9/main" uri="{B025F937-C7B1-47D3-B67F-A62EFF666E3E}">
          <x14:id>{96FC0486-AA25-4385-A282-808E20D290E4}</x14:id>
        </ext>
      </extLst>
    </cfRule>
  </conditionalFormatting>
  <conditionalFormatting sqref="K16:K24">
    <cfRule type="dataBar" priority="2">
      <dataBar>
        <cfvo type="percent" val="0"/>
        <cfvo type="percent" val="100"/>
        <color theme="8" tint="-0.249977111117893"/>
      </dataBar>
      <extLst>
        <ext xmlns:x14="http://schemas.microsoft.com/office/spreadsheetml/2009/9/main" uri="{B025F937-C7B1-47D3-B67F-A62EFF666E3E}">
          <x14:id>{EEEE3CA6-41B4-40A0-965D-3123FE8CE37B}</x14:id>
        </ext>
      </extLst>
    </cfRule>
  </conditionalFormatting>
  <conditionalFormatting sqref="E28:E36">
    <cfRule type="dataBar" priority="1">
      <dataBar>
        <cfvo type="percent" val="0"/>
        <cfvo type="percent" val="100"/>
        <color theme="8" tint="-0.249977111117893"/>
      </dataBar>
      <extLst>
        <ext xmlns:x14="http://schemas.microsoft.com/office/spreadsheetml/2009/9/main" uri="{B025F937-C7B1-47D3-B67F-A62EFF666E3E}">
          <x14:id>{B99F06A2-1621-4406-A8B5-444D0DABA892}</x14:id>
        </ext>
      </extLst>
    </cfRule>
  </conditionalFormatting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0C8D382-4ECE-4D57-9475-9C51AD692FF5}">
            <x14:dataBar minLength="0" maxLength="100" direction="leftToRight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E16:E24</xm:sqref>
        </x14:conditionalFormatting>
        <x14:conditionalFormatting xmlns:xm="http://schemas.microsoft.com/office/excel/2006/main">
          <x14:cfRule type="dataBar" id="{312AD715-4D74-4647-AEFC-81282D71E90E}">
            <x14:dataBar minLength="0" maxLength="100" direction="leftToRight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E4:E12</xm:sqref>
        </x14:conditionalFormatting>
        <x14:conditionalFormatting xmlns:xm="http://schemas.microsoft.com/office/excel/2006/main">
          <x14:cfRule type="dataBar" id="{96FC0486-AA25-4385-A282-808E20D290E4}">
            <x14:dataBar minLength="0" maxLength="100" direction="leftToRight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K4:K12</xm:sqref>
        </x14:conditionalFormatting>
        <x14:conditionalFormatting xmlns:xm="http://schemas.microsoft.com/office/excel/2006/main">
          <x14:cfRule type="dataBar" id="{EEEE3CA6-41B4-40A0-965D-3123FE8CE37B}">
            <x14:dataBar minLength="0" maxLength="100" direction="leftToRight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K16:K24</xm:sqref>
        </x14:conditionalFormatting>
        <x14:conditionalFormatting xmlns:xm="http://schemas.microsoft.com/office/excel/2006/main">
          <x14:cfRule type="dataBar" id="{B99F06A2-1621-4406-A8B5-444D0DABA892}">
            <x14:dataBar minLength="0" maxLength="100" direction="leftToRight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E28:E36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D227120-7398-48A3-8F33-D9846C5C5B9E}">
          <x14:formula1>
            <xm:f>'Base de Dados'!$D$2:$D$1048576</xm:f>
          </x14:formula1>
          <xm:sqref>G4:G12 A4:A13 A16:A24 G16:G24 A28:A36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81650-BE56-4A0C-ACD1-9B085D1C56D8}">
  <sheetPr codeName="Planilha5"/>
  <dimension ref="A1:K36"/>
  <sheetViews>
    <sheetView showGridLines="0" workbookViewId="0">
      <selection sqref="A1:K1"/>
    </sheetView>
  </sheetViews>
  <sheetFormatPr defaultRowHeight="15" x14ac:dyDescent="0.25"/>
  <cols>
    <col min="1" max="1" width="17.5703125" bestFit="1" customWidth="1"/>
    <col min="2" max="2" width="11.7109375" bestFit="1" customWidth="1"/>
    <col min="3" max="3" width="10.28515625" bestFit="1" customWidth="1"/>
    <col min="4" max="4" width="5.85546875" bestFit="1" customWidth="1"/>
    <col min="5" max="5" width="9.85546875" style="1" bestFit="1" customWidth="1"/>
    <col min="6" max="6" width="2.7109375" customWidth="1"/>
    <col min="7" max="7" width="17.5703125" bestFit="1" customWidth="1"/>
    <col min="8" max="8" width="11.7109375" bestFit="1" customWidth="1"/>
    <col min="9" max="9" width="10.28515625" bestFit="1" customWidth="1"/>
    <col min="10" max="10" width="5.85546875" bestFit="1" customWidth="1"/>
    <col min="11" max="11" width="8.7109375" bestFit="1" customWidth="1"/>
  </cols>
  <sheetData>
    <row r="1" spans="1:11" ht="19.5" thickBot="1" x14ac:dyDescent="0.45">
      <c r="A1" s="21" t="s">
        <v>28</v>
      </c>
      <c r="B1" s="21"/>
      <c r="C1" s="21"/>
      <c r="D1" s="21"/>
      <c r="E1" s="21"/>
      <c r="F1" s="21"/>
      <c r="G1" s="21"/>
      <c r="H1" s="21"/>
      <c r="I1" s="21"/>
      <c r="J1" s="21"/>
      <c r="K1" s="21"/>
    </row>
    <row r="2" spans="1:11" x14ac:dyDescent="0.25">
      <c r="A2" s="18" t="s">
        <v>22</v>
      </c>
      <c r="B2" s="19"/>
      <c r="C2" s="19"/>
      <c r="D2" s="19"/>
      <c r="E2" s="20"/>
      <c r="G2" s="18" t="s">
        <v>23</v>
      </c>
      <c r="H2" s="19"/>
      <c r="I2" s="19"/>
      <c r="J2" s="19"/>
      <c r="K2" s="20"/>
    </row>
    <row r="3" spans="1:11" x14ac:dyDescent="0.25">
      <c r="A3" s="5" t="s">
        <v>0</v>
      </c>
      <c r="B3" s="4" t="s">
        <v>4</v>
      </c>
      <c r="C3" s="4" t="s">
        <v>1</v>
      </c>
      <c r="D3" s="4" t="s">
        <v>3</v>
      </c>
      <c r="E3" s="6" t="s">
        <v>9</v>
      </c>
      <c r="G3" s="5" t="s">
        <v>0</v>
      </c>
      <c r="H3" s="4" t="s">
        <v>4</v>
      </c>
      <c r="I3" s="4" t="s">
        <v>1</v>
      </c>
      <c r="J3" s="4" t="s">
        <v>3</v>
      </c>
      <c r="K3" s="6" t="s">
        <v>9</v>
      </c>
    </row>
    <row r="4" spans="1:11" x14ac:dyDescent="0.25">
      <c r="A4" s="7" t="s">
        <v>8</v>
      </c>
      <c r="B4" s="2" t="str">
        <f>VLOOKUP(A4,'Base de Dados'!$D$2:$E$1048576,2,)</f>
        <v>Pleno</v>
      </c>
      <c r="C4" s="2">
        <v>1</v>
      </c>
      <c r="D4" s="2">
        <f>VLOOKUP(B4,'Base de Dados'!$A$2:$B$7,2,FALSE)</f>
        <v>20</v>
      </c>
      <c r="E4" s="8">
        <f>C4/D4</f>
        <v>0.05</v>
      </c>
      <c r="G4" s="7" t="s">
        <v>8</v>
      </c>
      <c r="H4" s="2" t="str">
        <f>VLOOKUP(G4,'Base de Dados'!$D$2:$E$1048576,2,)</f>
        <v>Pleno</v>
      </c>
      <c r="I4" s="2">
        <v>9</v>
      </c>
      <c r="J4" s="2">
        <f>VLOOKUP(H4,'Base de Dados'!$A$2:$B$7,2,FALSE)</f>
        <v>20</v>
      </c>
      <c r="K4" s="8">
        <f>I4/J4</f>
        <v>0.45</v>
      </c>
    </row>
    <row r="5" spans="1:11" x14ac:dyDescent="0.25">
      <c r="A5" s="7" t="s">
        <v>13</v>
      </c>
      <c r="B5" s="2" t="str">
        <f>VLOOKUP(A5,'Base de Dados'!$D$2:$E$1048576,2,)</f>
        <v>Pleno</v>
      </c>
      <c r="C5" s="2">
        <v>2</v>
      </c>
      <c r="D5" s="2">
        <f>VLOOKUP(B5,'Base de Dados'!$A$2:$B$7,2,FALSE)</f>
        <v>20</v>
      </c>
      <c r="E5" s="8">
        <f t="shared" ref="E5:E12" si="0">C5/D5</f>
        <v>0.1</v>
      </c>
      <c r="G5" s="7" t="s">
        <v>13</v>
      </c>
      <c r="H5" s="2" t="str">
        <f>VLOOKUP(G5,'Base de Dados'!$D$2:$E$1048576,2,)</f>
        <v>Pleno</v>
      </c>
      <c r="I5" s="2">
        <v>8</v>
      </c>
      <c r="J5" s="2">
        <f>VLOOKUP(H5,'Base de Dados'!$A$2:$B$7,2,FALSE)</f>
        <v>20</v>
      </c>
      <c r="K5" s="8">
        <f t="shared" ref="K5:K12" si="1">I5/J5</f>
        <v>0.4</v>
      </c>
    </row>
    <row r="6" spans="1:11" x14ac:dyDescent="0.25">
      <c r="A6" s="7" t="s">
        <v>14</v>
      </c>
      <c r="B6" s="2" t="str">
        <f>VLOOKUP(A6,'Base de Dados'!$D$2:$E$1048576,2,)</f>
        <v>Pleno</v>
      </c>
      <c r="C6" s="2">
        <v>3</v>
      </c>
      <c r="D6" s="2">
        <f>VLOOKUP(B6,'Base de Dados'!$A$2:$B$7,2,FALSE)</f>
        <v>20</v>
      </c>
      <c r="E6" s="8">
        <f t="shared" si="0"/>
        <v>0.15</v>
      </c>
      <c r="G6" s="7" t="s">
        <v>14</v>
      </c>
      <c r="H6" s="2" t="str">
        <f>VLOOKUP(G6,'Base de Dados'!$D$2:$E$1048576,2,)</f>
        <v>Pleno</v>
      </c>
      <c r="I6" s="2">
        <v>7</v>
      </c>
      <c r="J6" s="2">
        <f>VLOOKUP(H6,'Base de Dados'!$A$2:$B$7,2,FALSE)</f>
        <v>20</v>
      </c>
      <c r="K6" s="8">
        <f t="shared" si="1"/>
        <v>0.35</v>
      </c>
    </row>
    <row r="7" spans="1:11" x14ac:dyDescent="0.25">
      <c r="A7" s="7" t="s">
        <v>15</v>
      </c>
      <c r="B7" s="2" t="str">
        <f>VLOOKUP(A7,'Base de Dados'!$D$2:$E$1048576,2,)</f>
        <v>Junior</v>
      </c>
      <c r="C7" s="2">
        <v>4</v>
      </c>
      <c r="D7" s="2">
        <f>VLOOKUP(B7,'Base de Dados'!$A$2:$B$7,2,FALSE)</f>
        <v>15</v>
      </c>
      <c r="E7" s="8">
        <f t="shared" si="0"/>
        <v>0.26666666666666666</v>
      </c>
      <c r="G7" s="7" t="s">
        <v>15</v>
      </c>
      <c r="H7" s="2" t="str">
        <f>VLOOKUP(G7,'Base de Dados'!$D$2:$E$1048576,2,)</f>
        <v>Junior</v>
      </c>
      <c r="I7" s="2">
        <v>6</v>
      </c>
      <c r="J7" s="2">
        <f>VLOOKUP(H7,'Base de Dados'!$A$2:$B$7,2,FALSE)</f>
        <v>15</v>
      </c>
      <c r="K7" s="8">
        <f t="shared" si="1"/>
        <v>0.4</v>
      </c>
    </row>
    <row r="8" spans="1:11" x14ac:dyDescent="0.25">
      <c r="A8" s="7" t="s">
        <v>16</v>
      </c>
      <c r="B8" s="2" t="str">
        <f>VLOOKUP(A8,'Base de Dados'!$D$2:$E$1048576,2,)</f>
        <v>Junior</v>
      </c>
      <c r="C8" s="2">
        <v>5</v>
      </c>
      <c r="D8" s="2">
        <f>VLOOKUP(B8,'Base de Dados'!$A$2:$B$7,2,FALSE)</f>
        <v>15</v>
      </c>
      <c r="E8" s="8">
        <f t="shared" si="0"/>
        <v>0.33333333333333331</v>
      </c>
      <c r="G8" s="7" t="s">
        <v>16</v>
      </c>
      <c r="H8" s="2" t="str">
        <f>VLOOKUP(G8,'Base de Dados'!$D$2:$E$1048576,2,)</f>
        <v>Junior</v>
      </c>
      <c r="I8" s="2">
        <v>5</v>
      </c>
      <c r="J8" s="2">
        <f>VLOOKUP(H8,'Base de Dados'!$A$2:$B$7,2,FALSE)</f>
        <v>15</v>
      </c>
      <c r="K8" s="8">
        <f t="shared" si="1"/>
        <v>0.33333333333333331</v>
      </c>
    </row>
    <row r="9" spans="1:11" x14ac:dyDescent="0.25">
      <c r="A9" s="7" t="s">
        <v>17</v>
      </c>
      <c r="B9" s="2" t="str">
        <f>VLOOKUP(A9,'Base de Dados'!$D$2:$E$1048576,2,)</f>
        <v>Especialista</v>
      </c>
      <c r="C9" s="2">
        <v>6</v>
      </c>
      <c r="D9" s="2">
        <f>VLOOKUP(B9,'Base de Dados'!$A$2:$B$7,2,FALSE)</f>
        <v>30</v>
      </c>
      <c r="E9" s="8">
        <f t="shared" si="0"/>
        <v>0.2</v>
      </c>
      <c r="G9" s="7" t="s">
        <v>17</v>
      </c>
      <c r="H9" s="2" t="str">
        <f>VLOOKUP(G9,'Base de Dados'!$D$2:$E$1048576,2,)</f>
        <v>Especialista</v>
      </c>
      <c r="I9" s="2">
        <v>4</v>
      </c>
      <c r="J9" s="2">
        <f>VLOOKUP(H9,'Base de Dados'!$A$2:$B$7,2,FALSE)</f>
        <v>30</v>
      </c>
      <c r="K9" s="8">
        <f t="shared" si="1"/>
        <v>0.13333333333333333</v>
      </c>
    </row>
    <row r="10" spans="1:11" x14ac:dyDescent="0.25">
      <c r="A10" s="7" t="s">
        <v>18</v>
      </c>
      <c r="B10" s="2" t="str">
        <f>VLOOKUP(A10,'Base de Dados'!$D$2:$E$1048576,2,)</f>
        <v>Junior</v>
      </c>
      <c r="C10" s="2">
        <v>7</v>
      </c>
      <c r="D10" s="2">
        <f>VLOOKUP(B10,'Base de Dados'!$A$2:$B$7,2,FALSE)</f>
        <v>15</v>
      </c>
      <c r="E10" s="8">
        <f t="shared" si="0"/>
        <v>0.46666666666666667</v>
      </c>
      <c r="G10" s="7" t="s">
        <v>18</v>
      </c>
      <c r="H10" s="2" t="str">
        <f>VLOOKUP(G10,'Base de Dados'!$D$2:$E$1048576,2,)</f>
        <v>Junior</v>
      </c>
      <c r="I10" s="2">
        <v>3</v>
      </c>
      <c r="J10" s="2">
        <f>VLOOKUP(H10,'Base de Dados'!$A$2:$B$7,2,FALSE)</f>
        <v>15</v>
      </c>
      <c r="K10" s="8">
        <f t="shared" si="1"/>
        <v>0.2</v>
      </c>
    </row>
    <row r="11" spans="1:11" x14ac:dyDescent="0.25">
      <c r="A11" s="7" t="s">
        <v>19</v>
      </c>
      <c r="B11" s="2" t="str">
        <f>VLOOKUP(A11,'Base de Dados'!$D$2:$E$1048576,2,)</f>
        <v>Junior</v>
      </c>
      <c r="C11" s="2">
        <v>8</v>
      </c>
      <c r="D11" s="2">
        <f>VLOOKUP(B11,'Base de Dados'!$A$2:$B$7,2,FALSE)</f>
        <v>15</v>
      </c>
      <c r="E11" s="8">
        <f t="shared" si="0"/>
        <v>0.53333333333333333</v>
      </c>
      <c r="G11" s="7" t="s">
        <v>19</v>
      </c>
      <c r="H11" s="2" t="str">
        <f>VLOOKUP(G11,'Base de Dados'!$D$2:$E$1048576,2,)</f>
        <v>Junior</v>
      </c>
      <c r="I11" s="2">
        <v>2</v>
      </c>
      <c r="J11" s="2">
        <f>VLOOKUP(H11,'Base de Dados'!$A$2:$B$7,2,FALSE)</f>
        <v>15</v>
      </c>
      <c r="K11" s="8">
        <f t="shared" si="1"/>
        <v>0.13333333333333333</v>
      </c>
    </row>
    <row r="12" spans="1:11" ht="15.75" thickBot="1" x14ac:dyDescent="0.3">
      <c r="A12" s="9" t="s">
        <v>20</v>
      </c>
      <c r="B12" s="10" t="str">
        <f>VLOOKUP(A12,'Base de Dados'!$D$2:$E$1048576,2,)</f>
        <v>Junior</v>
      </c>
      <c r="C12" s="10">
        <v>9</v>
      </c>
      <c r="D12" s="10">
        <f>VLOOKUP(B12,'Base de Dados'!$A$2:$B$7,2,FALSE)</f>
        <v>15</v>
      </c>
      <c r="E12" s="11">
        <f t="shared" si="0"/>
        <v>0.6</v>
      </c>
      <c r="G12" s="9" t="s">
        <v>20</v>
      </c>
      <c r="H12" s="10" t="str">
        <f>VLOOKUP(G12,'Base de Dados'!$D$2:$E$1048576,2,)</f>
        <v>Junior</v>
      </c>
      <c r="I12" s="10">
        <v>1</v>
      </c>
      <c r="J12" s="10">
        <f>VLOOKUP(H12,'Base de Dados'!$A$2:$B$7,2,FALSE)</f>
        <v>15</v>
      </c>
      <c r="K12" s="11">
        <f t="shared" si="1"/>
        <v>6.6666666666666666E-2</v>
      </c>
    </row>
    <row r="13" spans="1:11" ht="15.75" thickBot="1" x14ac:dyDescent="0.3"/>
    <row r="14" spans="1:11" x14ac:dyDescent="0.25">
      <c r="A14" s="18" t="s">
        <v>24</v>
      </c>
      <c r="B14" s="19"/>
      <c r="C14" s="19"/>
      <c r="D14" s="19"/>
      <c r="E14" s="20"/>
      <c r="G14" s="18" t="s">
        <v>25</v>
      </c>
      <c r="H14" s="19"/>
      <c r="I14" s="19"/>
      <c r="J14" s="19"/>
      <c r="K14" s="20"/>
    </row>
    <row r="15" spans="1:11" x14ac:dyDescent="0.25">
      <c r="A15" s="5" t="s">
        <v>0</v>
      </c>
      <c r="B15" s="4" t="s">
        <v>4</v>
      </c>
      <c r="C15" s="4" t="s">
        <v>1</v>
      </c>
      <c r="D15" s="4" t="s">
        <v>3</v>
      </c>
      <c r="E15" s="6" t="s">
        <v>9</v>
      </c>
      <c r="G15" s="5" t="s">
        <v>0</v>
      </c>
      <c r="H15" s="4" t="s">
        <v>4</v>
      </c>
      <c r="I15" s="4" t="s">
        <v>1</v>
      </c>
      <c r="J15" s="4" t="s">
        <v>3</v>
      </c>
      <c r="K15" s="6" t="s">
        <v>9</v>
      </c>
    </row>
    <row r="16" spans="1:11" x14ac:dyDescent="0.25">
      <c r="A16" s="7" t="s">
        <v>8</v>
      </c>
      <c r="B16" s="2" t="str">
        <f>VLOOKUP(A16,'Base de Dados'!$D$2:$E$1048576,2,)</f>
        <v>Pleno</v>
      </c>
      <c r="C16" s="2">
        <v>2</v>
      </c>
      <c r="D16" s="2">
        <f>VLOOKUP(B16,'Base de Dados'!$A$2:$B$7,2,FALSE)</f>
        <v>20</v>
      </c>
      <c r="E16" s="8">
        <f>C16/D16</f>
        <v>0.1</v>
      </c>
      <c r="G16" s="7" t="s">
        <v>8</v>
      </c>
      <c r="H16" s="2" t="str">
        <f>VLOOKUP(G16,'Base de Dados'!$D$2:$E$1048576,2,)</f>
        <v>Pleno</v>
      </c>
      <c r="I16" s="2">
        <v>1</v>
      </c>
      <c r="J16" s="2">
        <f>VLOOKUP(H16,'Base de Dados'!$A$2:$B$7,2,FALSE)</f>
        <v>20</v>
      </c>
      <c r="K16" s="8">
        <f>I16/J16</f>
        <v>0.05</v>
      </c>
    </row>
    <row r="17" spans="1:11" x14ac:dyDescent="0.25">
      <c r="A17" s="7" t="s">
        <v>13</v>
      </c>
      <c r="B17" s="2" t="str">
        <f>VLOOKUP(A17,'Base de Dados'!$D$2:$E$1048576,2,)</f>
        <v>Pleno</v>
      </c>
      <c r="C17" s="2">
        <v>4</v>
      </c>
      <c r="D17" s="2">
        <f>VLOOKUP(B17,'Base de Dados'!$A$2:$B$7,2,FALSE)</f>
        <v>20</v>
      </c>
      <c r="E17" s="8">
        <f t="shared" ref="E17:E24" si="2">C17/D17</f>
        <v>0.2</v>
      </c>
      <c r="G17" s="7" t="s">
        <v>13</v>
      </c>
      <c r="H17" s="2" t="str">
        <f>VLOOKUP(G17,'Base de Dados'!$D$2:$E$1048576,2,)</f>
        <v>Pleno</v>
      </c>
      <c r="I17" s="2">
        <v>2</v>
      </c>
      <c r="J17" s="2">
        <f>VLOOKUP(H17,'Base de Dados'!$A$2:$B$7,2,FALSE)</f>
        <v>20</v>
      </c>
      <c r="K17" s="8">
        <f t="shared" ref="K17:K24" si="3">I17/J17</f>
        <v>0.1</v>
      </c>
    </row>
    <row r="18" spans="1:11" x14ac:dyDescent="0.25">
      <c r="A18" s="7" t="s">
        <v>14</v>
      </c>
      <c r="B18" s="2" t="str">
        <f>VLOOKUP(A18,'Base de Dados'!$D$2:$E$1048576,2,)</f>
        <v>Pleno</v>
      </c>
      <c r="C18" s="2">
        <v>6</v>
      </c>
      <c r="D18" s="2">
        <f>VLOOKUP(B18,'Base de Dados'!$A$2:$B$7,2,FALSE)</f>
        <v>20</v>
      </c>
      <c r="E18" s="8">
        <f t="shared" si="2"/>
        <v>0.3</v>
      </c>
      <c r="G18" s="7" t="s">
        <v>14</v>
      </c>
      <c r="H18" s="2" t="str">
        <f>VLOOKUP(G18,'Base de Dados'!$D$2:$E$1048576,2,)</f>
        <v>Pleno</v>
      </c>
      <c r="I18" s="2">
        <v>3</v>
      </c>
      <c r="J18" s="2">
        <f>VLOOKUP(H18,'Base de Dados'!$A$2:$B$7,2,FALSE)</f>
        <v>20</v>
      </c>
      <c r="K18" s="8">
        <f t="shared" si="3"/>
        <v>0.15</v>
      </c>
    </row>
    <row r="19" spans="1:11" x14ac:dyDescent="0.25">
      <c r="A19" s="7" t="s">
        <v>15</v>
      </c>
      <c r="B19" s="2" t="str">
        <f>VLOOKUP(A19,'Base de Dados'!$D$2:$E$1048576,2,)</f>
        <v>Junior</v>
      </c>
      <c r="C19" s="2">
        <v>8</v>
      </c>
      <c r="D19" s="2">
        <f>VLOOKUP(B19,'Base de Dados'!$A$2:$B$7,2,FALSE)</f>
        <v>15</v>
      </c>
      <c r="E19" s="8">
        <f t="shared" si="2"/>
        <v>0.53333333333333333</v>
      </c>
      <c r="G19" s="7" t="s">
        <v>15</v>
      </c>
      <c r="H19" s="2" t="str">
        <f>VLOOKUP(G19,'Base de Dados'!$D$2:$E$1048576,2,)</f>
        <v>Junior</v>
      </c>
      <c r="I19" s="2">
        <v>5</v>
      </c>
      <c r="J19" s="2">
        <f>VLOOKUP(H19,'Base de Dados'!$A$2:$B$7,2,FALSE)</f>
        <v>15</v>
      </c>
      <c r="K19" s="8">
        <f t="shared" si="3"/>
        <v>0.33333333333333331</v>
      </c>
    </row>
    <row r="20" spans="1:11" x14ac:dyDescent="0.25">
      <c r="A20" s="7" t="s">
        <v>16</v>
      </c>
      <c r="B20" s="2" t="str">
        <f>VLOOKUP(A20,'Base de Dados'!$D$2:$E$1048576,2,)</f>
        <v>Junior</v>
      </c>
      <c r="C20" s="2">
        <v>10</v>
      </c>
      <c r="D20" s="2">
        <f>VLOOKUP(B20,'Base de Dados'!$A$2:$B$7,2,FALSE)</f>
        <v>15</v>
      </c>
      <c r="E20" s="8">
        <f t="shared" si="2"/>
        <v>0.66666666666666663</v>
      </c>
      <c r="G20" s="7" t="s">
        <v>16</v>
      </c>
      <c r="H20" s="2" t="str">
        <f>VLOOKUP(G20,'Base de Dados'!$D$2:$E$1048576,2,)</f>
        <v>Junior</v>
      </c>
      <c r="I20" s="2">
        <v>8</v>
      </c>
      <c r="J20" s="2">
        <f>VLOOKUP(H20,'Base de Dados'!$A$2:$B$7,2,FALSE)</f>
        <v>15</v>
      </c>
      <c r="K20" s="8">
        <f t="shared" si="3"/>
        <v>0.53333333333333333</v>
      </c>
    </row>
    <row r="21" spans="1:11" x14ac:dyDescent="0.25">
      <c r="A21" s="7" t="s">
        <v>17</v>
      </c>
      <c r="B21" s="2" t="str">
        <f>VLOOKUP(A21,'Base de Dados'!$D$2:$E$1048576,2,)</f>
        <v>Especialista</v>
      </c>
      <c r="C21" s="2">
        <v>12</v>
      </c>
      <c r="D21" s="2">
        <f>VLOOKUP(B21,'Base de Dados'!$A$2:$B$7,2,FALSE)</f>
        <v>30</v>
      </c>
      <c r="E21" s="8">
        <f t="shared" si="2"/>
        <v>0.4</v>
      </c>
      <c r="G21" s="7" t="s">
        <v>17</v>
      </c>
      <c r="H21" s="2" t="str">
        <f>VLOOKUP(G21,'Base de Dados'!$D$2:$E$1048576,2,)</f>
        <v>Especialista</v>
      </c>
      <c r="I21" s="2">
        <v>13</v>
      </c>
      <c r="J21" s="2">
        <f>VLOOKUP(H21,'Base de Dados'!$A$2:$B$7,2,FALSE)</f>
        <v>30</v>
      </c>
      <c r="K21" s="8">
        <f t="shared" si="3"/>
        <v>0.43333333333333335</v>
      </c>
    </row>
    <row r="22" spans="1:11" x14ac:dyDescent="0.25">
      <c r="A22" s="7" t="s">
        <v>18</v>
      </c>
      <c r="B22" s="2" t="str">
        <f>VLOOKUP(A22,'Base de Dados'!$D$2:$E$1048576,2,)</f>
        <v>Junior</v>
      </c>
      <c r="C22" s="2">
        <v>14</v>
      </c>
      <c r="D22" s="2">
        <f>VLOOKUP(B22,'Base de Dados'!$A$2:$B$7,2,FALSE)</f>
        <v>15</v>
      </c>
      <c r="E22" s="8">
        <f t="shared" si="2"/>
        <v>0.93333333333333335</v>
      </c>
      <c r="G22" s="7" t="s">
        <v>18</v>
      </c>
      <c r="H22" s="2" t="str">
        <f>VLOOKUP(G22,'Base de Dados'!$D$2:$E$1048576,2,)</f>
        <v>Junior</v>
      </c>
      <c r="I22" s="2">
        <v>21</v>
      </c>
      <c r="J22" s="2">
        <f>VLOOKUP(H22,'Base de Dados'!$A$2:$B$7,2,FALSE)</f>
        <v>15</v>
      </c>
      <c r="K22" s="8">
        <f t="shared" si="3"/>
        <v>1.4</v>
      </c>
    </row>
    <row r="23" spans="1:11" x14ac:dyDescent="0.25">
      <c r="A23" s="7" t="s">
        <v>19</v>
      </c>
      <c r="B23" s="2" t="str">
        <f>VLOOKUP(A23,'Base de Dados'!$D$2:$E$1048576,2,)</f>
        <v>Junior</v>
      </c>
      <c r="C23" s="2">
        <v>16</v>
      </c>
      <c r="D23" s="2">
        <f>VLOOKUP(B23,'Base de Dados'!$A$2:$B$7,2,FALSE)</f>
        <v>15</v>
      </c>
      <c r="E23" s="8">
        <f t="shared" si="2"/>
        <v>1.0666666666666667</v>
      </c>
      <c r="G23" s="7" t="s">
        <v>19</v>
      </c>
      <c r="H23" s="2" t="str">
        <f>VLOOKUP(G23,'Base de Dados'!$D$2:$E$1048576,2,)</f>
        <v>Junior</v>
      </c>
      <c r="I23" s="2">
        <v>44</v>
      </c>
      <c r="J23" s="2">
        <f>VLOOKUP(H23,'Base de Dados'!$A$2:$B$7,2,FALSE)</f>
        <v>15</v>
      </c>
      <c r="K23" s="8">
        <f t="shared" si="3"/>
        <v>2.9333333333333331</v>
      </c>
    </row>
    <row r="24" spans="1:11" ht="15.75" thickBot="1" x14ac:dyDescent="0.3">
      <c r="A24" s="9" t="s">
        <v>20</v>
      </c>
      <c r="B24" s="10" t="str">
        <f>VLOOKUP(A24,'Base de Dados'!$D$2:$E$1048576,2,)</f>
        <v>Junior</v>
      </c>
      <c r="C24" s="10">
        <v>18</v>
      </c>
      <c r="D24" s="10">
        <f>VLOOKUP(B24,'Base de Dados'!$A$2:$B$7,2,FALSE)</f>
        <v>15</v>
      </c>
      <c r="E24" s="11">
        <f t="shared" si="2"/>
        <v>1.2</v>
      </c>
      <c r="G24" s="9" t="s">
        <v>20</v>
      </c>
      <c r="H24" s="10" t="str">
        <f>VLOOKUP(G24,'Base de Dados'!$D$2:$E$1048576,2,)</f>
        <v>Junior</v>
      </c>
      <c r="I24" s="10">
        <v>65</v>
      </c>
      <c r="J24" s="10">
        <f>VLOOKUP(H24,'Base de Dados'!$A$2:$B$7,2,FALSE)</f>
        <v>15</v>
      </c>
      <c r="K24" s="11">
        <f t="shared" si="3"/>
        <v>4.333333333333333</v>
      </c>
    </row>
    <row r="25" spans="1:11" ht="15.75" thickBot="1" x14ac:dyDescent="0.3"/>
    <row r="26" spans="1:11" x14ac:dyDescent="0.25">
      <c r="A26" s="18" t="s">
        <v>26</v>
      </c>
      <c r="B26" s="19"/>
      <c r="C26" s="19"/>
      <c r="D26" s="19"/>
      <c r="E26" s="20"/>
    </row>
    <row r="27" spans="1:11" x14ac:dyDescent="0.25">
      <c r="A27" s="5" t="s">
        <v>0</v>
      </c>
      <c r="B27" s="4" t="s">
        <v>4</v>
      </c>
      <c r="C27" s="4" t="s">
        <v>1</v>
      </c>
      <c r="D27" s="4" t="s">
        <v>3</v>
      </c>
      <c r="E27" s="6" t="s">
        <v>9</v>
      </c>
    </row>
    <row r="28" spans="1:11" x14ac:dyDescent="0.25">
      <c r="A28" s="7" t="s">
        <v>8</v>
      </c>
      <c r="B28" s="2" t="str">
        <f>VLOOKUP(A28,'Base de Dados'!$D$2:$E$1048576,2,)</f>
        <v>Pleno</v>
      </c>
      <c r="C28" s="2">
        <v>2</v>
      </c>
      <c r="D28" s="2">
        <f>VLOOKUP(B28,'Base de Dados'!$A$2:$B$7,2,FALSE)</f>
        <v>20</v>
      </c>
      <c r="E28" s="8">
        <f>C28/D28</f>
        <v>0.1</v>
      </c>
    </row>
    <row r="29" spans="1:11" x14ac:dyDescent="0.25">
      <c r="A29" s="7" t="s">
        <v>13</v>
      </c>
      <c r="B29" s="2" t="str">
        <f>VLOOKUP(A29,'Base de Dados'!$D$2:$E$1048576,2,)</f>
        <v>Pleno</v>
      </c>
      <c r="C29" s="2">
        <v>4</v>
      </c>
      <c r="D29" s="2">
        <f>VLOOKUP(B29,'Base de Dados'!$A$2:$B$7,2,FALSE)</f>
        <v>20</v>
      </c>
      <c r="E29" s="8">
        <f t="shared" ref="E29:E36" si="4">C29/D29</f>
        <v>0.2</v>
      </c>
    </row>
    <row r="30" spans="1:11" x14ac:dyDescent="0.25">
      <c r="A30" s="7" t="s">
        <v>14</v>
      </c>
      <c r="B30" s="2" t="str">
        <f>VLOOKUP(A30,'Base de Dados'!$D$2:$E$1048576,2,)</f>
        <v>Pleno</v>
      </c>
      <c r="C30" s="2">
        <v>8</v>
      </c>
      <c r="D30" s="2">
        <f>VLOOKUP(B30,'Base de Dados'!$A$2:$B$7,2,FALSE)</f>
        <v>20</v>
      </c>
      <c r="E30" s="8">
        <f t="shared" si="4"/>
        <v>0.4</v>
      </c>
    </row>
    <row r="31" spans="1:11" x14ac:dyDescent="0.25">
      <c r="A31" s="7" t="s">
        <v>15</v>
      </c>
      <c r="B31" s="2" t="str">
        <f>VLOOKUP(A31,'Base de Dados'!$D$2:$E$1048576,2,)</f>
        <v>Junior</v>
      </c>
      <c r="C31" s="2">
        <v>16</v>
      </c>
      <c r="D31" s="2">
        <f>VLOOKUP(B31,'Base de Dados'!$A$2:$B$7,2,FALSE)</f>
        <v>15</v>
      </c>
      <c r="E31" s="8">
        <f t="shared" si="4"/>
        <v>1.0666666666666667</v>
      </c>
    </row>
    <row r="32" spans="1:11" x14ac:dyDescent="0.25">
      <c r="A32" s="7" t="s">
        <v>16</v>
      </c>
      <c r="B32" s="2" t="str">
        <f>VLOOKUP(A32,'Base de Dados'!$D$2:$E$1048576,2,)</f>
        <v>Junior</v>
      </c>
      <c r="C32" s="2">
        <v>32</v>
      </c>
      <c r="D32" s="2">
        <f>VLOOKUP(B32,'Base de Dados'!$A$2:$B$7,2,FALSE)</f>
        <v>15</v>
      </c>
      <c r="E32" s="8">
        <f t="shared" si="4"/>
        <v>2.1333333333333333</v>
      </c>
    </row>
    <row r="33" spans="1:5" x14ac:dyDescent="0.25">
      <c r="A33" s="7" t="s">
        <v>17</v>
      </c>
      <c r="B33" s="2" t="str">
        <f>VLOOKUP(A33,'Base de Dados'!$D$2:$E$1048576,2,)</f>
        <v>Especialista</v>
      </c>
      <c r="C33" s="2">
        <v>64</v>
      </c>
      <c r="D33" s="2">
        <f>VLOOKUP(B33,'Base de Dados'!$A$2:$B$7,2,FALSE)</f>
        <v>30</v>
      </c>
      <c r="E33" s="8">
        <f t="shared" si="4"/>
        <v>2.1333333333333333</v>
      </c>
    </row>
    <row r="34" spans="1:5" x14ac:dyDescent="0.25">
      <c r="A34" s="7" t="s">
        <v>18</v>
      </c>
      <c r="B34" s="2" t="str">
        <f>VLOOKUP(A34,'Base de Dados'!$D$2:$E$1048576,2,)</f>
        <v>Junior</v>
      </c>
      <c r="C34" s="2">
        <v>128</v>
      </c>
      <c r="D34" s="2">
        <f>VLOOKUP(B34,'Base de Dados'!$A$2:$B$7,2,FALSE)</f>
        <v>15</v>
      </c>
      <c r="E34" s="8">
        <f t="shared" si="4"/>
        <v>8.5333333333333332</v>
      </c>
    </row>
    <row r="35" spans="1:5" x14ac:dyDescent="0.25">
      <c r="A35" s="7" t="s">
        <v>19</v>
      </c>
      <c r="B35" s="2" t="str">
        <f>VLOOKUP(A35,'Base de Dados'!$D$2:$E$1048576,2,)</f>
        <v>Junior</v>
      </c>
      <c r="C35" s="2">
        <v>256</v>
      </c>
      <c r="D35" s="2">
        <f>VLOOKUP(B35,'Base de Dados'!$A$2:$B$7,2,FALSE)</f>
        <v>15</v>
      </c>
      <c r="E35" s="8">
        <f t="shared" si="4"/>
        <v>17.066666666666666</v>
      </c>
    </row>
    <row r="36" spans="1:5" ht="15.75" thickBot="1" x14ac:dyDescent="0.3">
      <c r="A36" s="9" t="s">
        <v>20</v>
      </c>
      <c r="B36" s="10" t="str">
        <f>VLOOKUP(A36,'Base de Dados'!$D$2:$E$1048576,2,)</f>
        <v>Junior</v>
      </c>
      <c r="C36" s="10">
        <v>512</v>
      </c>
      <c r="D36" s="10">
        <f>VLOOKUP(B36,'Base de Dados'!$A$2:$B$7,2,FALSE)</f>
        <v>15</v>
      </c>
      <c r="E36" s="11">
        <f t="shared" si="4"/>
        <v>34.133333333333333</v>
      </c>
    </row>
  </sheetData>
  <mergeCells count="6">
    <mergeCell ref="A26:E26"/>
    <mergeCell ref="A1:K1"/>
    <mergeCell ref="A2:E2"/>
    <mergeCell ref="G2:K2"/>
    <mergeCell ref="A14:E14"/>
    <mergeCell ref="G14:K14"/>
  </mergeCells>
  <conditionalFormatting sqref="E16:E24">
    <cfRule type="dataBar" priority="5">
      <dataBar>
        <cfvo type="percent" val="0"/>
        <cfvo type="percent" val="100"/>
        <color theme="8" tint="-0.249977111117893"/>
      </dataBar>
      <extLst>
        <ext xmlns:x14="http://schemas.microsoft.com/office/spreadsheetml/2009/9/main" uri="{B025F937-C7B1-47D3-B67F-A62EFF666E3E}">
          <x14:id>{4AFCE7BE-51EB-42EF-AB50-4A9B236B5162}</x14:id>
        </ext>
      </extLst>
    </cfRule>
  </conditionalFormatting>
  <conditionalFormatting sqref="E4:E12">
    <cfRule type="dataBar" priority="4">
      <dataBar>
        <cfvo type="percent" val="0"/>
        <cfvo type="percent" val="100"/>
        <color theme="8" tint="-0.249977111117893"/>
      </dataBar>
      <extLst>
        <ext xmlns:x14="http://schemas.microsoft.com/office/spreadsheetml/2009/9/main" uri="{B025F937-C7B1-47D3-B67F-A62EFF666E3E}">
          <x14:id>{41A589A8-4258-4FEB-B942-CC4B8681CC03}</x14:id>
        </ext>
      </extLst>
    </cfRule>
  </conditionalFormatting>
  <conditionalFormatting sqref="K4:K12">
    <cfRule type="dataBar" priority="3">
      <dataBar>
        <cfvo type="percent" val="0"/>
        <cfvo type="percent" val="100"/>
        <color theme="8" tint="-0.249977111117893"/>
      </dataBar>
      <extLst>
        <ext xmlns:x14="http://schemas.microsoft.com/office/spreadsheetml/2009/9/main" uri="{B025F937-C7B1-47D3-B67F-A62EFF666E3E}">
          <x14:id>{A293F5B5-E2CE-4456-B4B3-4A91EFFB3EC5}</x14:id>
        </ext>
      </extLst>
    </cfRule>
  </conditionalFormatting>
  <conditionalFormatting sqref="K16:K24">
    <cfRule type="dataBar" priority="2">
      <dataBar>
        <cfvo type="percent" val="0"/>
        <cfvo type="percent" val="100"/>
        <color theme="8" tint="-0.249977111117893"/>
      </dataBar>
      <extLst>
        <ext xmlns:x14="http://schemas.microsoft.com/office/spreadsheetml/2009/9/main" uri="{B025F937-C7B1-47D3-B67F-A62EFF666E3E}">
          <x14:id>{41CE1D38-1478-455F-A65A-5531F9C3A721}</x14:id>
        </ext>
      </extLst>
    </cfRule>
  </conditionalFormatting>
  <conditionalFormatting sqref="E28:E36">
    <cfRule type="dataBar" priority="1">
      <dataBar>
        <cfvo type="percent" val="0"/>
        <cfvo type="percent" val="100"/>
        <color theme="8" tint="-0.249977111117893"/>
      </dataBar>
      <extLst>
        <ext xmlns:x14="http://schemas.microsoft.com/office/spreadsheetml/2009/9/main" uri="{B025F937-C7B1-47D3-B67F-A62EFF666E3E}">
          <x14:id>{B84FA95B-F6E2-43F6-8C19-5CEC9FCB8E7A}</x14:id>
        </ext>
      </extLst>
    </cfRule>
  </conditionalFormatting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FCE7BE-51EB-42EF-AB50-4A9B236B5162}">
            <x14:dataBar minLength="0" maxLength="100" direction="leftToRight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E16:E24</xm:sqref>
        </x14:conditionalFormatting>
        <x14:conditionalFormatting xmlns:xm="http://schemas.microsoft.com/office/excel/2006/main">
          <x14:cfRule type="dataBar" id="{41A589A8-4258-4FEB-B942-CC4B8681CC03}">
            <x14:dataBar minLength="0" maxLength="100" direction="leftToRight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E4:E12</xm:sqref>
        </x14:conditionalFormatting>
        <x14:conditionalFormatting xmlns:xm="http://schemas.microsoft.com/office/excel/2006/main">
          <x14:cfRule type="dataBar" id="{A293F5B5-E2CE-4456-B4B3-4A91EFFB3EC5}">
            <x14:dataBar minLength="0" maxLength="100" direction="leftToRight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K4:K12</xm:sqref>
        </x14:conditionalFormatting>
        <x14:conditionalFormatting xmlns:xm="http://schemas.microsoft.com/office/excel/2006/main">
          <x14:cfRule type="dataBar" id="{41CE1D38-1478-455F-A65A-5531F9C3A721}">
            <x14:dataBar minLength="0" maxLength="100" direction="leftToRight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K16:K24</xm:sqref>
        </x14:conditionalFormatting>
        <x14:conditionalFormatting xmlns:xm="http://schemas.microsoft.com/office/excel/2006/main">
          <x14:cfRule type="dataBar" id="{B84FA95B-F6E2-43F6-8C19-5CEC9FCB8E7A}">
            <x14:dataBar minLength="0" maxLength="100" direction="leftToRight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E28:E36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946094B-5C4B-4912-B666-21025D1F0A73}">
          <x14:formula1>
            <xm:f>'Base de Dados'!$D$2:$D$1048576</xm:f>
          </x14:formula1>
          <xm:sqref>G4:G12 A4:A13 A16:A24 G16:G24 A28:A36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24837-10F9-42BB-90E1-58E19ADEC339}">
  <sheetPr codeName="Planilha6"/>
  <dimension ref="A1:K36"/>
  <sheetViews>
    <sheetView showGridLines="0" workbookViewId="0">
      <selection sqref="A1:K1"/>
    </sheetView>
  </sheetViews>
  <sheetFormatPr defaultRowHeight="15" x14ac:dyDescent="0.25"/>
  <cols>
    <col min="1" max="1" width="17.5703125" bestFit="1" customWidth="1"/>
    <col min="2" max="2" width="11.7109375" bestFit="1" customWidth="1"/>
    <col min="3" max="3" width="10.28515625" bestFit="1" customWidth="1"/>
    <col min="4" max="4" width="5.85546875" bestFit="1" customWidth="1"/>
    <col min="5" max="5" width="9.85546875" style="1" bestFit="1" customWidth="1"/>
    <col min="6" max="6" width="2.7109375" customWidth="1"/>
    <col min="7" max="7" width="17.5703125" bestFit="1" customWidth="1"/>
    <col min="8" max="8" width="11.7109375" bestFit="1" customWidth="1"/>
    <col min="9" max="9" width="10.28515625" bestFit="1" customWidth="1"/>
    <col min="10" max="10" width="5.85546875" bestFit="1" customWidth="1"/>
    <col min="11" max="11" width="8.7109375" bestFit="1" customWidth="1"/>
  </cols>
  <sheetData>
    <row r="1" spans="1:11" ht="19.5" thickBot="1" x14ac:dyDescent="0.45">
      <c r="A1" s="21" t="s">
        <v>29</v>
      </c>
      <c r="B1" s="21"/>
      <c r="C1" s="21"/>
      <c r="D1" s="21"/>
      <c r="E1" s="21"/>
      <c r="F1" s="21"/>
      <c r="G1" s="21"/>
      <c r="H1" s="21"/>
      <c r="I1" s="21"/>
      <c r="J1" s="21"/>
      <c r="K1" s="21"/>
    </row>
    <row r="2" spans="1:11" x14ac:dyDescent="0.25">
      <c r="A2" s="18" t="s">
        <v>22</v>
      </c>
      <c r="B2" s="19"/>
      <c r="C2" s="19"/>
      <c r="D2" s="19"/>
      <c r="E2" s="20"/>
      <c r="G2" s="18" t="s">
        <v>23</v>
      </c>
      <c r="H2" s="19"/>
      <c r="I2" s="19"/>
      <c r="J2" s="19"/>
      <c r="K2" s="20"/>
    </row>
    <row r="3" spans="1:11" x14ac:dyDescent="0.25">
      <c r="A3" s="5" t="s">
        <v>0</v>
      </c>
      <c r="B3" s="4" t="s">
        <v>4</v>
      </c>
      <c r="C3" s="4" t="s">
        <v>1</v>
      </c>
      <c r="D3" s="4" t="s">
        <v>3</v>
      </c>
      <c r="E3" s="6" t="s">
        <v>9</v>
      </c>
      <c r="G3" s="5" t="s">
        <v>0</v>
      </c>
      <c r="H3" s="4" t="s">
        <v>4</v>
      </c>
      <c r="I3" s="4" t="s">
        <v>1</v>
      </c>
      <c r="J3" s="4" t="s">
        <v>3</v>
      </c>
      <c r="K3" s="6" t="s">
        <v>9</v>
      </c>
    </row>
    <row r="4" spans="1:11" x14ac:dyDescent="0.25">
      <c r="A4" s="7" t="s">
        <v>8</v>
      </c>
      <c r="B4" s="2" t="str">
        <f>VLOOKUP(A4,'Base de Dados'!$D$2:$E$1048576,2,)</f>
        <v>Pleno</v>
      </c>
      <c r="C4" s="2">
        <v>1</v>
      </c>
      <c r="D4" s="2">
        <f>VLOOKUP(B4,'Base de Dados'!$A$2:$B$7,2,FALSE)</f>
        <v>20</v>
      </c>
      <c r="E4" s="8">
        <f>C4/D4</f>
        <v>0.05</v>
      </c>
      <c r="G4" s="7" t="s">
        <v>8</v>
      </c>
      <c r="H4" s="2" t="str">
        <f>VLOOKUP(G4,'Base de Dados'!$D$2:$E$1048576,2,)</f>
        <v>Pleno</v>
      </c>
      <c r="I4" s="2">
        <v>9</v>
      </c>
      <c r="J4" s="2">
        <f>VLOOKUP(H4,'Base de Dados'!$A$2:$B$7,2,FALSE)</f>
        <v>20</v>
      </c>
      <c r="K4" s="8">
        <f>I4/J4</f>
        <v>0.45</v>
      </c>
    </row>
    <row r="5" spans="1:11" x14ac:dyDescent="0.25">
      <c r="A5" s="7" t="s">
        <v>13</v>
      </c>
      <c r="B5" s="2" t="str">
        <f>VLOOKUP(A5,'Base de Dados'!$D$2:$E$1048576,2,)</f>
        <v>Pleno</v>
      </c>
      <c r="C5" s="2">
        <v>2</v>
      </c>
      <c r="D5" s="2">
        <f>VLOOKUP(B5,'Base de Dados'!$A$2:$B$7,2,FALSE)</f>
        <v>20</v>
      </c>
      <c r="E5" s="8">
        <f t="shared" ref="E5:E12" si="0">C5/D5</f>
        <v>0.1</v>
      </c>
      <c r="G5" s="7" t="s">
        <v>13</v>
      </c>
      <c r="H5" s="2" t="str">
        <f>VLOOKUP(G5,'Base de Dados'!$D$2:$E$1048576,2,)</f>
        <v>Pleno</v>
      </c>
      <c r="I5" s="2">
        <v>8</v>
      </c>
      <c r="J5" s="2">
        <f>VLOOKUP(H5,'Base de Dados'!$A$2:$B$7,2,FALSE)</f>
        <v>20</v>
      </c>
      <c r="K5" s="8">
        <f t="shared" ref="K5:K12" si="1">I5/J5</f>
        <v>0.4</v>
      </c>
    </row>
    <row r="6" spans="1:11" x14ac:dyDescent="0.25">
      <c r="A6" s="7" t="s">
        <v>14</v>
      </c>
      <c r="B6" s="2" t="str">
        <f>VLOOKUP(A6,'Base de Dados'!$D$2:$E$1048576,2,)</f>
        <v>Pleno</v>
      </c>
      <c r="C6" s="2">
        <v>3</v>
      </c>
      <c r="D6" s="2">
        <f>VLOOKUP(B6,'Base de Dados'!$A$2:$B$7,2,FALSE)</f>
        <v>20</v>
      </c>
      <c r="E6" s="8">
        <f t="shared" si="0"/>
        <v>0.15</v>
      </c>
      <c r="G6" s="7" t="s">
        <v>14</v>
      </c>
      <c r="H6" s="2" t="str">
        <f>VLOOKUP(G6,'Base de Dados'!$D$2:$E$1048576,2,)</f>
        <v>Pleno</v>
      </c>
      <c r="I6" s="2">
        <v>7</v>
      </c>
      <c r="J6" s="2">
        <f>VLOOKUP(H6,'Base de Dados'!$A$2:$B$7,2,FALSE)</f>
        <v>20</v>
      </c>
      <c r="K6" s="8">
        <f t="shared" si="1"/>
        <v>0.35</v>
      </c>
    </row>
    <row r="7" spans="1:11" x14ac:dyDescent="0.25">
      <c r="A7" s="7" t="s">
        <v>15</v>
      </c>
      <c r="B7" s="2" t="str">
        <f>VLOOKUP(A7,'Base de Dados'!$D$2:$E$1048576,2,)</f>
        <v>Junior</v>
      </c>
      <c r="C7" s="2">
        <v>4</v>
      </c>
      <c r="D7" s="2">
        <f>VLOOKUP(B7,'Base de Dados'!$A$2:$B$7,2,FALSE)</f>
        <v>15</v>
      </c>
      <c r="E7" s="8">
        <f t="shared" si="0"/>
        <v>0.26666666666666666</v>
      </c>
      <c r="G7" s="7" t="s">
        <v>15</v>
      </c>
      <c r="H7" s="2" t="str">
        <f>VLOOKUP(G7,'Base de Dados'!$D$2:$E$1048576,2,)</f>
        <v>Junior</v>
      </c>
      <c r="I7" s="2">
        <v>6</v>
      </c>
      <c r="J7" s="2">
        <f>VLOOKUP(H7,'Base de Dados'!$A$2:$B$7,2,FALSE)</f>
        <v>15</v>
      </c>
      <c r="K7" s="8">
        <f t="shared" si="1"/>
        <v>0.4</v>
      </c>
    </row>
    <row r="8" spans="1:11" x14ac:dyDescent="0.25">
      <c r="A8" s="7" t="s">
        <v>16</v>
      </c>
      <c r="B8" s="2" t="str">
        <f>VLOOKUP(A8,'Base de Dados'!$D$2:$E$1048576,2,)</f>
        <v>Junior</v>
      </c>
      <c r="C8" s="2">
        <v>5</v>
      </c>
      <c r="D8" s="2">
        <f>VLOOKUP(B8,'Base de Dados'!$A$2:$B$7,2,FALSE)</f>
        <v>15</v>
      </c>
      <c r="E8" s="8">
        <f t="shared" si="0"/>
        <v>0.33333333333333331</v>
      </c>
      <c r="G8" s="7" t="s">
        <v>16</v>
      </c>
      <c r="H8" s="2" t="str">
        <f>VLOOKUP(G8,'Base de Dados'!$D$2:$E$1048576,2,)</f>
        <v>Junior</v>
      </c>
      <c r="I8" s="2">
        <v>5</v>
      </c>
      <c r="J8" s="2">
        <f>VLOOKUP(H8,'Base de Dados'!$A$2:$B$7,2,FALSE)</f>
        <v>15</v>
      </c>
      <c r="K8" s="8">
        <f t="shared" si="1"/>
        <v>0.33333333333333331</v>
      </c>
    </row>
    <row r="9" spans="1:11" x14ac:dyDescent="0.25">
      <c r="A9" s="7" t="s">
        <v>17</v>
      </c>
      <c r="B9" s="2" t="str">
        <f>VLOOKUP(A9,'Base de Dados'!$D$2:$E$1048576,2,)</f>
        <v>Especialista</v>
      </c>
      <c r="C9" s="2">
        <v>6</v>
      </c>
      <c r="D9" s="2">
        <f>VLOOKUP(B9,'Base de Dados'!$A$2:$B$7,2,FALSE)</f>
        <v>30</v>
      </c>
      <c r="E9" s="8">
        <f t="shared" si="0"/>
        <v>0.2</v>
      </c>
      <c r="G9" s="7" t="s">
        <v>17</v>
      </c>
      <c r="H9" s="2" t="str">
        <f>VLOOKUP(G9,'Base de Dados'!$D$2:$E$1048576,2,)</f>
        <v>Especialista</v>
      </c>
      <c r="I9" s="2">
        <v>4</v>
      </c>
      <c r="J9" s="2">
        <f>VLOOKUP(H9,'Base de Dados'!$A$2:$B$7,2,FALSE)</f>
        <v>30</v>
      </c>
      <c r="K9" s="8">
        <f t="shared" si="1"/>
        <v>0.13333333333333333</v>
      </c>
    </row>
    <row r="10" spans="1:11" x14ac:dyDescent="0.25">
      <c r="A10" s="7" t="s">
        <v>18</v>
      </c>
      <c r="B10" s="2" t="str">
        <f>VLOOKUP(A10,'Base de Dados'!$D$2:$E$1048576,2,)</f>
        <v>Junior</v>
      </c>
      <c r="C10" s="2">
        <v>7</v>
      </c>
      <c r="D10" s="2">
        <f>VLOOKUP(B10,'Base de Dados'!$A$2:$B$7,2,FALSE)</f>
        <v>15</v>
      </c>
      <c r="E10" s="8">
        <f t="shared" si="0"/>
        <v>0.46666666666666667</v>
      </c>
      <c r="G10" s="7" t="s">
        <v>18</v>
      </c>
      <c r="H10" s="2" t="str">
        <f>VLOOKUP(G10,'Base de Dados'!$D$2:$E$1048576,2,)</f>
        <v>Junior</v>
      </c>
      <c r="I10" s="2">
        <v>3</v>
      </c>
      <c r="J10" s="2">
        <f>VLOOKUP(H10,'Base de Dados'!$A$2:$B$7,2,FALSE)</f>
        <v>15</v>
      </c>
      <c r="K10" s="8">
        <f t="shared" si="1"/>
        <v>0.2</v>
      </c>
    </row>
    <row r="11" spans="1:11" x14ac:dyDescent="0.25">
      <c r="A11" s="7" t="s">
        <v>19</v>
      </c>
      <c r="B11" s="2" t="str">
        <f>VLOOKUP(A11,'Base de Dados'!$D$2:$E$1048576,2,)</f>
        <v>Junior</v>
      </c>
      <c r="C11" s="2">
        <v>8</v>
      </c>
      <c r="D11" s="2">
        <f>VLOOKUP(B11,'Base de Dados'!$A$2:$B$7,2,FALSE)</f>
        <v>15</v>
      </c>
      <c r="E11" s="8">
        <f t="shared" si="0"/>
        <v>0.53333333333333333</v>
      </c>
      <c r="G11" s="7" t="s">
        <v>19</v>
      </c>
      <c r="H11" s="2" t="str">
        <f>VLOOKUP(G11,'Base de Dados'!$D$2:$E$1048576,2,)</f>
        <v>Junior</v>
      </c>
      <c r="I11" s="2">
        <v>2</v>
      </c>
      <c r="J11" s="2">
        <f>VLOOKUP(H11,'Base de Dados'!$A$2:$B$7,2,FALSE)</f>
        <v>15</v>
      </c>
      <c r="K11" s="8">
        <f t="shared" si="1"/>
        <v>0.13333333333333333</v>
      </c>
    </row>
    <row r="12" spans="1:11" ht="15.75" thickBot="1" x14ac:dyDescent="0.3">
      <c r="A12" s="9" t="s">
        <v>20</v>
      </c>
      <c r="B12" s="10" t="str">
        <f>VLOOKUP(A12,'Base de Dados'!$D$2:$E$1048576,2,)</f>
        <v>Junior</v>
      </c>
      <c r="C12" s="10">
        <v>9</v>
      </c>
      <c r="D12" s="10">
        <f>VLOOKUP(B12,'Base de Dados'!$A$2:$B$7,2,FALSE)</f>
        <v>15</v>
      </c>
      <c r="E12" s="11">
        <f t="shared" si="0"/>
        <v>0.6</v>
      </c>
      <c r="G12" s="9" t="s">
        <v>20</v>
      </c>
      <c r="H12" s="10" t="str">
        <f>VLOOKUP(G12,'Base de Dados'!$D$2:$E$1048576,2,)</f>
        <v>Junior</v>
      </c>
      <c r="I12" s="10">
        <v>1</v>
      </c>
      <c r="J12" s="10">
        <f>VLOOKUP(H12,'Base de Dados'!$A$2:$B$7,2,FALSE)</f>
        <v>15</v>
      </c>
      <c r="K12" s="11">
        <f t="shared" si="1"/>
        <v>6.6666666666666666E-2</v>
      </c>
    </row>
    <row r="13" spans="1:11" ht="15.75" thickBot="1" x14ac:dyDescent="0.3"/>
    <row r="14" spans="1:11" x14ac:dyDescent="0.25">
      <c r="A14" s="18" t="s">
        <v>24</v>
      </c>
      <c r="B14" s="19"/>
      <c r="C14" s="19"/>
      <c r="D14" s="19"/>
      <c r="E14" s="20"/>
      <c r="G14" s="18" t="s">
        <v>25</v>
      </c>
      <c r="H14" s="19"/>
      <c r="I14" s="19"/>
      <c r="J14" s="19"/>
      <c r="K14" s="20"/>
    </row>
    <row r="15" spans="1:11" x14ac:dyDescent="0.25">
      <c r="A15" s="5" t="s">
        <v>0</v>
      </c>
      <c r="B15" s="4" t="s">
        <v>4</v>
      </c>
      <c r="C15" s="4" t="s">
        <v>1</v>
      </c>
      <c r="D15" s="4" t="s">
        <v>3</v>
      </c>
      <c r="E15" s="6" t="s">
        <v>9</v>
      </c>
      <c r="G15" s="5" t="s">
        <v>0</v>
      </c>
      <c r="H15" s="4" t="s">
        <v>4</v>
      </c>
      <c r="I15" s="4" t="s">
        <v>1</v>
      </c>
      <c r="J15" s="4" t="s">
        <v>3</v>
      </c>
      <c r="K15" s="6" t="s">
        <v>9</v>
      </c>
    </row>
    <row r="16" spans="1:11" x14ac:dyDescent="0.25">
      <c r="A16" s="7" t="s">
        <v>8</v>
      </c>
      <c r="B16" s="2" t="str">
        <f>VLOOKUP(A16,'Base de Dados'!$D$2:$E$1048576,2,)</f>
        <v>Pleno</v>
      </c>
      <c r="C16" s="2">
        <v>2</v>
      </c>
      <c r="D16" s="2">
        <f>VLOOKUP(B16,'Base de Dados'!$A$2:$B$7,2,FALSE)</f>
        <v>20</v>
      </c>
      <c r="E16" s="8">
        <f>C16/D16</f>
        <v>0.1</v>
      </c>
      <c r="G16" s="7" t="s">
        <v>8</v>
      </c>
      <c r="H16" s="2" t="str">
        <f>VLOOKUP(G16,'Base de Dados'!$D$2:$E$1048576,2,)</f>
        <v>Pleno</v>
      </c>
      <c r="I16" s="2">
        <v>1</v>
      </c>
      <c r="J16" s="2">
        <f>VLOOKUP(H16,'Base de Dados'!$A$2:$B$7,2,FALSE)</f>
        <v>20</v>
      </c>
      <c r="K16" s="8">
        <f>I16/J16</f>
        <v>0.05</v>
      </c>
    </row>
    <row r="17" spans="1:11" x14ac:dyDescent="0.25">
      <c r="A17" s="7" t="s">
        <v>13</v>
      </c>
      <c r="B17" s="2" t="str">
        <f>VLOOKUP(A17,'Base de Dados'!$D$2:$E$1048576,2,)</f>
        <v>Pleno</v>
      </c>
      <c r="C17" s="2">
        <v>4</v>
      </c>
      <c r="D17" s="2">
        <f>VLOOKUP(B17,'Base de Dados'!$A$2:$B$7,2,FALSE)</f>
        <v>20</v>
      </c>
      <c r="E17" s="8">
        <f t="shared" ref="E17:E24" si="2">C17/D17</f>
        <v>0.2</v>
      </c>
      <c r="G17" s="7" t="s">
        <v>13</v>
      </c>
      <c r="H17" s="2" t="str">
        <f>VLOOKUP(G17,'Base de Dados'!$D$2:$E$1048576,2,)</f>
        <v>Pleno</v>
      </c>
      <c r="I17" s="2">
        <v>2</v>
      </c>
      <c r="J17" s="2">
        <f>VLOOKUP(H17,'Base de Dados'!$A$2:$B$7,2,FALSE)</f>
        <v>20</v>
      </c>
      <c r="K17" s="8">
        <f t="shared" ref="K17:K24" si="3">I17/J17</f>
        <v>0.1</v>
      </c>
    </row>
    <row r="18" spans="1:11" x14ac:dyDescent="0.25">
      <c r="A18" s="7" t="s">
        <v>14</v>
      </c>
      <c r="B18" s="2" t="str">
        <f>VLOOKUP(A18,'Base de Dados'!$D$2:$E$1048576,2,)</f>
        <v>Pleno</v>
      </c>
      <c r="C18" s="2">
        <v>6</v>
      </c>
      <c r="D18" s="2">
        <f>VLOOKUP(B18,'Base de Dados'!$A$2:$B$7,2,FALSE)</f>
        <v>20</v>
      </c>
      <c r="E18" s="8">
        <f t="shared" si="2"/>
        <v>0.3</v>
      </c>
      <c r="G18" s="7" t="s">
        <v>14</v>
      </c>
      <c r="H18" s="2" t="str">
        <f>VLOOKUP(G18,'Base de Dados'!$D$2:$E$1048576,2,)</f>
        <v>Pleno</v>
      </c>
      <c r="I18" s="2">
        <v>3</v>
      </c>
      <c r="J18" s="2">
        <f>VLOOKUP(H18,'Base de Dados'!$A$2:$B$7,2,FALSE)</f>
        <v>20</v>
      </c>
      <c r="K18" s="8">
        <f t="shared" si="3"/>
        <v>0.15</v>
      </c>
    </row>
    <row r="19" spans="1:11" x14ac:dyDescent="0.25">
      <c r="A19" s="7" t="s">
        <v>15</v>
      </c>
      <c r="B19" s="2" t="str">
        <f>VLOOKUP(A19,'Base de Dados'!$D$2:$E$1048576,2,)</f>
        <v>Junior</v>
      </c>
      <c r="C19" s="2">
        <v>8</v>
      </c>
      <c r="D19" s="2">
        <f>VLOOKUP(B19,'Base de Dados'!$A$2:$B$7,2,FALSE)</f>
        <v>15</v>
      </c>
      <c r="E19" s="8">
        <f t="shared" si="2"/>
        <v>0.53333333333333333</v>
      </c>
      <c r="G19" s="7" t="s">
        <v>15</v>
      </c>
      <c r="H19" s="2" t="str">
        <f>VLOOKUP(G19,'Base de Dados'!$D$2:$E$1048576,2,)</f>
        <v>Junior</v>
      </c>
      <c r="I19" s="2">
        <v>5</v>
      </c>
      <c r="J19" s="2">
        <f>VLOOKUP(H19,'Base de Dados'!$A$2:$B$7,2,FALSE)</f>
        <v>15</v>
      </c>
      <c r="K19" s="8">
        <f t="shared" si="3"/>
        <v>0.33333333333333331</v>
      </c>
    </row>
    <row r="20" spans="1:11" x14ac:dyDescent="0.25">
      <c r="A20" s="7" t="s">
        <v>16</v>
      </c>
      <c r="B20" s="2" t="str">
        <f>VLOOKUP(A20,'Base de Dados'!$D$2:$E$1048576,2,)</f>
        <v>Junior</v>
      </c>
      <c r="C20" s="2">
        <v>10</v>
      </c>
      <c r="D20" s="2">
        <f>VLOOKUP(B20,'Base de Dados'!$A$2:$B$7,2,FALSE)</f>
        <v>15</v>
      </c>
      <c r="E20" s="8">
        <f t="shared" si="2"/>
        <v>0.66666666666666663</v>
      </c>
      <c r="G20" s="7" t="s">
        <v>16</v>
      </c>
      <c r="H20" s="2" t="str">
        <f>VLOOKUP(G20,'Base de Dados'!$D$2:$E$1048576,2,)</f>
        <v>Junior</v>
      </c>
      <c r="I20" s="2">
        <v>8</v>
      </c>
      <c r="J20" s="2">
        <f>VLOOKUP(H20,'Base de Dados'!$A$2:$B$7,2,FALSE)</f>
        <v>15</v>
      </c>
      <c r="K20" s="8">
        <f t="shared" si="3"/>
        <v>0.53333333333333333</v>
      </c>
    </row>
    <row r="21" spans="1:11" x14ac:dyDescent="0.25">
      <c r="A21" s="7" t="s">
        <v>17</v>
      </c>
      <c r="B21" s="2" t="str">
        <f>VLOOKUP(A21,'Base de Dados'!$D$2:$E$1048576,2,)</f>
        <v>Especialista</v>
      </c>
      <c r="C21" s="2">
        <v>12</v>
      </c>
      <c r="D21" s="2">
        <f>VLOOKUP(B21,'Base de Dados'!$A$2:$B$7,2,FALSE)</f>
        <v>30</v>
      </c>
      <c r="E21" s="8">
        <f t="shared" si="2"/>
        <v>0.4</v>
      </c>
      <c r="G21" s="7" t="s">
        <v>17</v>
      </c>
      <c r="H21" s="2" t="str">
        <f>VLOOKUP(G21,'Base de Dados'!$D$2:$E$1048576,2,)</f>
        <v>Especialista</v>
      </c>
      <c r="I21" s="2">
        <v>13</v>
      </c>
      <c r="J21" s="2">
        <f>VLOOKUP(H21,'Base de Dados'!$A$2:$B$7,2,FALSE)</f>
        <v>30</v>
      </c>
      <c r="K21" s="8">
        <f t="shared" si="3"/>
        <v>0.43333333333333335</v>
      </c>
    </row>
    <row r="22" spans="1:11" x14ac:dyDescent="0.25">
      <c r="A22" s="7" t="s">
        <v>18</v>
      </c>
      <c r="B22" s="2" t="str">
        <f>VLOOKUP(A22,'Base de Dados'!$D$2:$E$1048576,2,)</f>
        <v>Junior</v>
      </c>
      <c r="C22" s="2">
        <v>14</v>
      </c>
      <c r="D22" s="2">
        <f>VLOOKUP(B22,'Base de Dados'!$A$2:$B$7,2,FALSE)</f>
        <v>15</v>
      </c>
      <c r="E22" s="8">
        <f t="shared" si="2"/>
        <v>0.93333333333333335</v>
      </c>
      <c r="G22" s="7" t="s">
        <v>18</v>
      </c>
      <c r="H22" s="2" t="str">
        <f>VLOOKUP(G22,'Base de Dados'!$D$2:$E$1048576,2,)</f>
        <v>Junior</v>
      </c>
      <c r="I22" s="2">
        <v>21</v>
      </c>
      <c r="J22" s="2">
        <f>VLOOKUP(H22,'Base de Dados'!$A$2:$B$7,2,FALSE)</f>
        <v>15</v>
      </c>
      <c r="K22" s="8">
        <f t="shared" si="3"/>
        <v>1.4</v>
      </c>
    </row>
    <row r="23" spans="1:11" x14ac:dyDescent="0.25">
      <c r="A23" s="7" t="s">
        <v>19</v>
      </c>
      <c r="B23" s="2" t="str">
        <f>VLOOKUP(A23,'Base de Dados'!$D$2:$E$1048576,2,)</f>
        <v>Junior</v>
      </c>
      <c r="C23" s="2">
        <v>16</v>
      </c>
      <c r="D23" s="2">
        <f>VLOOKUP(B23,'Base de Dados'!$A$2:$B$7,2,FALSE)</f>
        <v>15</v>
      </c>
      <c r="E23" s="8">
        <f t="shared" si="2"/>
        <v>1.0666666666666667</v>
      </c>
      <c r="G23" s="7" t="s">
        <v>19</v>
      </c>
      <c r="H23" s="2" t="str">
        <f>VLOOKUP(G23,'Base de Dados'!$D$2:$E$1048576,2,)</f>
        <v>Junior</v>
      </c>
      <c r="I23" s="2">
        <v>44</v>
      </c>
      <c r="J23" s="2">
        <f>VLOOKUP(H23,'Base de Dados'!$A$2:$B$7,2,FALSE)</f>
        <v>15</v>
      </c>
      <c r="K23" s="8">
        <f t="shared" si="3"/>
        <v>2.9333333333333331</v>
      </c>
    </row>
    <row r="24" spans="1:11" ht="15.75" thickBot="1" x14ac:dyDescent="0.3">
      <c r="A24" s="9" t="s">
        <v>20</v>
      </c>
      <c r="B24" s="10" t="str">
        <f>VLOOKUP(A24,'Base de Dados'!$D$2:$E$1048576,2,)</f>
        <v>Junior</v>
      </c>
      <c r="C24" s="10">
        <v>18</v>
      </c>
      <c r="D24" s="10">
        <f>VLOOKUP(B24,'Base de Dados'!$A$2:$B$7,2,FALSE)</f>
        <v>15</v>
      </c>
      <c r="E24" s="11">
        <f t="shared" si="2"/>
        <v>1.2</v>
      </c>
      <c r="G24" s="9" t="s">
        <v>20</v>
      </c>
      <c r="H24" s="10" t="str">
        <f>VLOOKUP(G24,'Base de Dados'!$D$2:$E$1048576,2,)</f>
        <v>Junior</v>
      </c>
      <c r="I24" s="10">
        <v>65</v>
      </c>
      <c r="J24" s="10">
        <f>VLOOKUP(H24,'Base de Dados'!$A$2:$B$7,2,FALSE)</f>
        <v>15</v>
      </c>
      <c r="K24" s="11">
        <f t="shared" si="3"/>
        <v>4.333333333333333</v>
      </c>
    </row>
    <row r="25" spans="1:11" ht="15.75" thickBot="1" x14ac:dyDescent="0.3"/>
    <row r="26" spans="1:11" x14ac:dyDescent="0.25">
      <c r="A26" s="18" t="s">
        <v>26</v>
      </c>
      <c r="B26" s="19"/>
      <c r="C26" s="19"/>
      <c r="D26" s="19"/>
      <c r="E26" s="20"/>
    </row>
    <row r="27" spans="1:11" x14ac:dyDescent="0.25">
      <c r="A27" s="5" t="s">
        <v>0</v>
      </c>
      <c r="B27" s="4" t="s">
        <v>4</v>
      </c>
      <c r="C27" s="4" t="s">
        <v>1</v>
      </c>
      <c r="D27" s="4" t="s">
        <v>3</v>
      </c>
      <c r="E27" s="6" t="s">
        <v>9</v>
      </c>
    </row>
    <row r="28" spans="1:11" x14ac:dyDescent="0.25">
      <c r="A28" s="7" t="s">
        <v>8</v>
      </c>
      <c r="B28" s="2" t="str">
        <f>VLOOKUP(A28,'Base de Dados'!$D$2:$E$1048576,2,)</f>
        <v>Pleno</v>
      </c>
      <c r="C28" s="2">
        <v>2</v>
      </c>
      <c r="D28" s="2">
        <f>VLOOKUP(B28,'Base de Dados'!$A$2:$B$7,2,FALSE)</f>
        <v>20</v>
      </c>
      <c r="E28" s="8">
        <f>C28/D28</f>
        <v>0.1</v>
      </c>
    </row>
    <row r="29" spans="1:11" x14ac:dyDescent="0.25">
      <c r="A29" s="7" t="s">
        <v>13</v>
      </c>
      <c r="B29" s="2" t="str">
        <f>VLOOKUP(A29,'Base de Dados'!$D$2:$E$1048576,2,)</f>
        <v>Pleno</v>
      </c>
      <c r="C29" s="2">
        <v>4</v>
      </c>
      <c r="D29" s="2">
        <f>VLOOKUP(B29,'Base de Dados'!$A$2:$B$7,2,FALSE)</f>
        <v>20</v>
      </c>
      <c r="E29" s="8">
        <f t="shared" ref="E29:E36" si="4">C29/D29</f>
        <v>0.2</v>
      </c>
    </row>
    <row r="30" spans="1:11" x14ac:dyDescent="0.25">
      <c r="A30" s="7" t="s">
        <v>14</v>
      </c>
      <c r="B30" s="2" t="str">
        <f>VLOOKUP(A30,'Base de Dados'!$D$2:$E$1048576,2,)</f>
        <v>Pleno</v>
      </c>
      <c r="C30" s="2">
        <v>8</v>
      </c>
      <c r="D30" s="2">
        <f>VLOOKUP(B30,'Base de Dados'!$A$2:$B$7,2,FALSE)</f>
        <v>20</v>
      </c>
      <c r="E30" s="8">
        <f t="shared" si="4"/>
        <v>0.4</v>
      </c>
    </row>
    <row r="31" spans="1:11" x14ac:dyDescent="0.25">
      <c r="A31" s="7" t="s">
        <v>15</v>
      </c>
      <c r="B31" s="2" t="str">
        <f>VLOOKUP(A31,'Base de Dados'!$D$2:$E$1048576,2,)</f>
        <v>Junior</v>
      </c>
      <c r="C31" s="2">
        <v>16</v>
      </c>
      <c r="D31" s="2">
        <f>VLOOKUP(B31,'Base de Dados'!$A$2:$B$7,2,FALSE)</f>
        <v>15</v>
      </c>
      <c r="E31" s="8">
        <f t="shared" si="4"/>
        <v>1.0666666666666667</v>
      </c>
    </row>
    <row r="32" spans="1:11" x14ac:dyDescent="0.25">
      <c r="A32" s="7" t="s">
        <v>16</v>
      </c>
      <c r="B32" s="2" t="str">
        <f>VLOOKUP(A32,'Base de Dados'!$D$2:$E$1048576,2,)</f>
        <v>Junior</v>
      </c>
      <c r="C32" s="2">
        <v>32</v>
      </c>
      <c r="D32" s="2">
        <f>VLOOKUP(B32,'Base de Dados'!$A$2:$B$7,2,FALSE)</f>
        <v>15</v>
      </c>
      <c r="E32" s="8">
        <f t="shared" si="4"/>
        <v>2.1333333333333333</v>
      </c>
    </row>
    <row r="33" spans="1:5" x14ac:dyDescent="0.25">
      <c r="A33" s="7" t="s">
        <v>17</v>
      </c>
      <c r="B33" s="2" t="str">
        <f>VLOOKUP(A33,'Base de Dados'!$D$2:$E$1048576,2,)</f>
        <v>Especialista</v>
      </c>
      <c r="C33" s="2">
        <v>64</v>
      </c>
      <c r="D33" s="2">
        <f>VLOOKUP(B33,'Base de Dados'!$A$2:$B$7,2,FALSE)</f>
        <v>30</v>
      </c>
      <c r="E33" s="8">
        <f t="shared" si="4"/>
        <v>2.1333333333333333</v>
      </c>
    </row>
    <row r="34" spans="1:5" x14ac:dyDescent="0.25">
      <c r="A34" s="7" t="s">
        <v>18</v>
      </c>
      <c r="B34" s="2" t="str">
        <f>VLOOKUP(A34,'Base de Dados'!$D$2:$E$1048576,2,)</f>
        <v>Junior</v>
      </c>
      <c r="C34" s="2">
        <v>128</v>
      </c>
      <c r="D34" s="2">
        <f>VLOOKUP(B34,'Base de Dados'!$A$2:$B$7,2,FALSE)</f>
        <v>15</v>
      </c>
      <c r="E34" s="8">
        <f t="shared" si="4"/>
        <v>8.5333333333333332</v>
      </c>
    </row>
    <row r="35" spans="1:5" x14ac:dyDescent="0.25">
      <c r="A35" s="7" t="s">
        <v>19</v>
      </c>
      <c r="B35" s="2" t="str">
        <f>VLOOKUP(A35,'Base de Dados'!$D$2:$E$1048576,2,)</f>
        <v>Junior</v>
      </c>
      <c r="C35" s="2">
        <v>256</v>
      </c>
      <c r="D35" s="2">
        <f>VLOOKUP(B35,'Base de Dados'!$A$2:$B$7,2,FALSE)</f>
        <v>15</v>
      </c>
      <c r="E35" s="8">
        <f t="shared" si="4"/>
        <v>17.066666666666666</v>
      </c>
    </row>
    <row r="36" spans="1:5" ht="15.75" thickBot="1" x14ac:dyDescent="0.3">
      <c r="A36" s="9" t="s">
        <v>20</v>
      </c>
      <c r="B36" s="10" t="str">
        <f>VLOOKUP(A36,'Base de Dados'!$D$2:$E$1048576,2,)</f>
        <v>Junior</v>
      </c>
      <c r="C36" s="10">
        <v>512</v>
      </c>
      <c r="D36" s="10">
        <f>VLOOKUP(B36,'Base de Dados'!$A$2:$B$7,2,FALSE)</f>
        <v>15</v>
      </c>
      <c r="E36" s="11">
        <f t="shared" si="4"/>
        <v>34.133333333333333</v>
      </c>
    </row>
  </sheetData>
  <mergeCells count="6">
    <mergeCell ref="A26:E26"/>
    <mergeCell ref="A1:K1"/>
    <mergeCell ref="A2:E2"/>
    <mergeCell ref="G2:K2"/>
    <mergeCell ref="A14:E14"/>
    <mergeCell ref="G14:K14"/>
  </mergeCells>
  <conditionalFormatting sqref="E16:E24">
    <cfRule type="dataBar" priority="5">
      <dataBar>
        <cfvo type="percent" val="0"/>
        <cfvo type="percent" val="100"/>
        <color theme="8" tint="-0.249977111117893"/>
      </dataBar>
      <extLst>
        <ext xmlns:x14="http://schemas.microsoft.com/office/spreadsheetml/2009/9/main" uri="{B025F937-C7B1-47D3-B67F-A62EFF666E3E}">
          <x14:id>{320967EF-6F2D-4245-B786-C7170160B13F}</x14:id>
        </ext>
      </extLst>
    </cfRule>
  </conditionalFormatting>
  <conditionalFormatting sqref="E4:E12">
    <cfRule type="dataBar" priority="4">
      <dataBar>
        <cfvo type="percent" val="0"/>
        <cfvo type="percent" val="100"/>
        <color theme="8" tint="-0.249977111117893"/>
      </dataBar>
      <extLst>
        <ext xmlns:x14="http://schemas.microsoft.com/office/spreadsheetml/2009/9/main" uri="{B025F937-C7B1-47D3-B67F-A62EFF666E3E}">
          <x14:id>{E6FD9A17-710B-43A9-AB6B-EA97467BCB6C}</x14:id>
        </ext>
      </extLst>
    </cfRule>
  </conditionalFormatting>
  <conditionalFormatting sqref="K4:K12">
    <cfRule type="dataBar" priority="3">
      <dataBar>
        <cfvo type="percent" val="0"/>
        <cfvo type="percent" val="100"/>
        <color theme="8" tint="-0.249977111117893"/>
      </dataBar>
      <extLst>
        <ext xmlns:x14="http://schemas.microsoft.com/office/spreadsheetml/2009/9/main" uri="{B025F937-C7B1-47D3-B67F-A62EFF666E3E}">
          <x14:id>{0EB81455-9B12-4A99-8226-0F5E1D72052A}</x14:id>
        </ext>
      </extLst>
    </cfRule>
  </conditionalFormatting>
  <conditionalFormatting sqref="K16:K24">
    <cfRule type="dataBar" priority="2">
      <dataBar>
        <cfvo type="percent" val="0"/>
        <cfvo type="percent" val="100"/>
        <color theme="8" tint="-0.249977111117893"/>
      </dataBar>
      <extLst>
        <ext xmlns:x14="http://schemas.microsoft.com/office/spreadsheetml/2009/9/main" uri="{B025F937-C7B1-47D3-B67F-A62EFF666E3E}">
          <x14:id>{BE03CBAA-4DC4-4BD4-B52D-C326E5AE0CB1}</x14:id>
        </ext>
      </extLst>
    </cfRule>
  </conditionalFormatting>
  <conditionalFormatting sqref="E28:E36">
    <cfRule type="dataBar" priority="1">
      <dataBar>
        <cfvo type="percent" val="0"/>
        <cfvo type="percent" val="100"/>
        <color theme="8" tint="-0.249977111117893"/>
      </dataBar>
      <extLst>
        <ext xmlns:x14="http://schemas.microsoft.com/office/spreadsheetml/2009/9/main" uri="{B025F937-C7B1-47D3-B67F-A62EFF666E3E}">
          <x14:id>{B5C34EE8-748C-4395-9438-77138684FD56}</x14:id>
        </ext>
      </extLst>
    </cfRule>
  </conditionalFormatting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20967EF-6F2D-4245-B786-C7170160B13F}">
            <x14:dataBar minLength="0" maxLength="100" direction="leftToRight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E16:E24</xm:sqref>
        </x14:conditionalFormatting>
        <x14:conditionalFormatting xmlns:xm="http://schemas.microsoft.com/office/excel/2006/main">
          <x14:cfRule type="dataBar" id="{E6FD9A17-710B-43A9-AB6B-EA97467BCB6C}">
            <x14:dataBar minLength="0" maxLength="100" direction="leftToRight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E4:E12</xm:sqref>
        </x14:conditionalFormatting>
        <x14:conditionalFormatting xmlns:xm="http://schemas.microsoft.com/office/excel/2006/main">
          <x14:cfRule type="dataBar" id="{0EB81455-9B12-4A99-8226-0F5E1D72052A}">
            <x14:dataBar minLength="0" maxLength="100" direction="leftToRight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K4:K12</xm:sqref>
        </x14:conditionalFormatting>
        <x14:conditionalFormatting xmlns:xm="http://schemas.microsoft.com/office/excel/2006/main">
          <x14:cfRule type="dataBar" id="{BE03CBAA-4DC4-4BD4-B52D-C326E5AE0CB1}">
            <x14:dataBar minLength="0" maxLength="100" direction="leftToRight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K16:K24</xm:sqref>
        </x14:conditionalFormatting>
        <x14:conditionalFormatting xmlns:xm="http://schemas.microsoft.com/office/excel/2006/main">
          <x14:cfRule type="dataBar" id="{B5C34EE8-748C-4395-9438-77138684FD56}">
            <x14:dataBar minLength="0" maxLength="100" direction="leftToRight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E28:E36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D3D0A49-ECCF-418A-8BBC-0AC3876A996F}">
          <x14:formula1>
            <xm:f>'Base de Dados'!$D$2:$D$1048576</xm:f>
          </x14:formula1>
          <xm:sqref>G4:G12 A4:A13 A16:A24 G16:G24 A28:A36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9396D-7386-463C-AE9C-BE29C10EB46E}">
  <sheetPr codeName="Planilha7"/>
  <dimension ref="A1:K36"/>
  <sheetViews>
    <sheetView showGridLines="0" workbookViewId="0">
      <selection sqref="A1:K1"/>
    </sheetView>
  </sheetViews>
  <sheetFormatPr defaultRowHeight="15" x14ac:dyDescent="0.25"/>
  <cols>
    <col min="1" max="1" width="17.5703125" bestFit="1" customWidth="1"/>
    <col min="2" max="2" width="11.7109375" bestFit="1" customWidth="1"/>
    <col min="3" max="3" width="10.28515625" bestFit="1" customWidth="1"/>
    <col min="4" max="4" width="5.85546875" bestFit="1" customWidth="1"/>
    <col min="5" max="5" width="9.85546875" style="1" bestFit="1" customWidth="1"/>
    <col min="6" max="6" width="2.7109375" customWidth="1"/>
    <col min="7" max="7" width="17.5703125" bestFit="1" customWidth="1"/>
    <col min="8" max="8" width="11.7109375" bestFit="1" customWidth="1"/>
    <col min="9" max="9" width="10.28515625" bestFit="1" customWidth="1"/>
    <col min="10" max="10" width="5.85546875" bestFit="1" customWidth="1"/>
    <col min="11" max="11" width="8.7109375" bestFit="1" customWidth="1"/>
  </cols>
  <sheetData>
    <row r="1" spans="1:11" ht="19.5" thickBot="1" x14ac:dyDescent="0.45">
      <c r="A1" s="21" t="s">
        <v>30</v>
      </c>
      <c r="B1" s="21"/>
      <c r="C1" s="21"/>
      <c r="D1" s="21"/>
      <c r="E1" s="21"/>
      <c r="F1" s="21"/>
      <c r="G1" s="21"/>
      <c r="H1" s="21"/>
      <c r="I1" s="21"/>
      <c r="J1" s="21"/>
      <c r="K1" s="21"/>
    </row>
    <row r="2" spans="1:11" x14ac:dyDescent="0.25">
      <c r="A2" s="18" t="s">
        <v>22</v>
      </c>
      <c r="B2" s="19"/>
      <c r="C2" s="19"/>
      <c r="D2" s="19"/>
      <c r="E2" s="20"/>
      <c r="G2" s="18" t="s">
        <v>23</v>
      </c>
      <c r="H2" s="19"/>
      <c r="I2" s="19"/>
      <c r="J2" s="19"/>
      <c r="K2" s="20"/>
    </row>
    <row r="3" spans="1:11" x14ac:dyDescent="0.25">
      <c r="A3" s="5" t="s">
        <v>0</v>
      </c>
      <c r="B3" s="4" t="s">
        <v>4</v>
      </c>
      <c r="C3" s="4" t="s">
        <v>1</v>
      </c>
      <c r="D3" s="4" t="s">
        <v>3</v>
      </c>
      <c r="E3" s="6" t="s">
        <v>9</v>
      </c>
      <c r="G3" s="5" t="s">
        <v>0</v>
      </c>
      <c r="H3" s="4" t="s">
        <v>4</v>
      </c>
      <c r="I3" s="4" t="s">
        <v>1</v>
      </c>
      <c r="J3" s="4" t="s">
        <v>3</v>
      </c>
      <c r="K3" s="6" t="s">
        <v>9</v>
      </c>
    </row>
    <row r="4" spans="1:11" x14ac:dyDescent="0.25">
      <c r="A4" s="7" t="s">
        <v>8</v>
      </c>
      <c r="B4" s="2" t="str">
        <f>VLOOKUP(A4,'Base de Dados'!$D$2:$E$1048576,2,)</f>
        <v>Pleno</v>
      </c>
      <c r="C4" s="2">
        <v>1</v>
      </c>
      <c r="D4" s="2">
        <f>VLOOKUP(B4,'Base de Dados'!$A$2:$B$7,2,FALSE)</f>
        <v>20</v>
      </c>
      <c r="E4" s="8">
        <f>C4/D4</f>
        <v>0.05</v>
      </c>
      <c r="G4" s="7" t="s">
        <v>8</v>
      </c>
      <c r="H4" s="2" t="str">
        <f>VLOOKUP(G4,'Base de Dados'!$D$2:$E$1048576,2,)</f>
        <v>Pleno</v>
      </c>
      <c r="I4" s="2">
        <v>9</v>
      </c>
      <c r="J4" s="2">
        <f>VLOOKUP(H4,'Base de Dados'!$A$2:$B$7,2,FALSE)</f>
        <v>20</v>
      </c>
      <c r="K4" s="8">
        <f>I4/J4</f>
        <v>0.45</v>
      </c>
    </row>
    <row r="5" spans="1:11" x14ac:dyDescent="0.25">
      <c r="A5" s="7" t="s">
        <v>13</v>
      </c>
      <c r="B5" s="2" t="str">
        <f>VLOOKUP(A5,'Base de Dados'!$D$2:$E$1048576,2,)</f>
        <v>Pleno</v>
      </c>
      <c r="C5" s="2">
        <v>2</v>
      </c>
      <c r="D5" s="2">
        <f>VLOOKUP(B5,'Base de Dados'!$A$2:$B$7,2,FALSE)</f>
        <v>20</v>
      </c>
      <c r="E5" s="8">
        <f t="shared" ref="E5:E12" si="0">C5/D5</f>
        <v>0.1</v>
      </c>
      <c r="G5" s="7" t="s">
        <v>13</v>
      </c>
      <c r="H5" s="2" t="str">
        <f>VLOOKUP(G5,'Base de Dados'!$D$2:$E$1048576,2,)</f>
        <v>Pleno</v>
      </c>
      <c r="I5" s="2">
        <v>8</v>
      </c>
      <c r="J5" s="2">
        <f>VLOOKUP(H5,'Base de Dados'!$A$2:$B$7,2,FALSE)</f>
        <v>20</v>
      </c>
      <c r="K5" s="8">
        <f t="shared" ref="K5:K12" si="1">I5/J5</f>
        <v>0.4</v>
      </c>
    </row>
    <row r="6" spans="1:11" x14ac:dyDescent="0.25">
      <c r="A6" s="7" t="s">
        <v>14</v>
      </c>
      <c r="B6" s="2" t="str">
        <f>VLOOKUP(A6,'Base de Dados'!$D$2:$E$1048576,2,)</f>
        <v>Pleno</v>
      </c>
      <c r="C6" s="2">
        <v>3</v>
      </c>
      <c r="D6" s="2">
        <f>VLOOKUP(B6,'Base de Dados'!$A$2:$B$7,2,FALSE)</f>
        <v>20</v>
      </c>
      <c r="E6" s="8">
        <f t="shared" si="0"/>
        <v>0.15</v>
      </c>
      <c r="G6" s="7" t="s">
        <v>14</v>
      </c>
      <c r="H6" s="2" t="str">
        <f>VLOOKUP(G6,'Base de Dados'!$D$2:$E$1048576,2,)</f>
        <v>Pleno</v>
      </c>
      <c r="I6" s="2">
        <v>7</v>
      </c>
      <c r="J6" s="2">
        <f>VLOOKUP(H6,'Base de Dados'!$A$2:$B$7,2,FALSE)</f>
        <v>20</v>
      </c>
      <c r="K6" s="8">
        <f t="shared" si="1"/>
        <v>0.35</v>
      </c>
    </row>
    <row r="7" spans="1:11" x14ac:dyDescent="0.25">
      <c r="A7" s="7" t="s">
        <v>15</v>
      </c>
      <c r="B7" s="2" t="str">
        <f>VLOOKUP(A7,'Base de Dados'!$D$2:$E$1048576,2,)</f>
        <v>Junior</v>
      </c>
      <c r="C7" s="2">
        <v>4</v>
      </c>
      <c r="D7" s="2">
        <f>VLOOKUP(B7,'Base de Dados'!$A$2:$B$7,2,FALSE)</f>
        <v>15</v>
      </c>
      <c r="E7" s="8">
        <f t="shared" si="0"/>
        <v>0.26666666666666666</v>
      </c>
      <c r="G7" s="7" t="s">
        <v>15</v>
      </c>
      <c r="H7" s="2" t="str">
        <f>VLOOKUP(G7,'Base de Dados'!$D$2:$E$1048576,2,)</f>
        <v>Junior</v>
      </c>
      <c r="I7" s="2">
        <v>6</v>
      </c>
      <c r="J7" s="2">
        <f>VLOOKUP(H7,'Base de Dados'!$A$2:$B$7,2,FALSE)</f>
        <v>15</v>
      </c>
      <c r="K7" s="8">
        <f t="shared" si="1"/>
        <v>0.4</v>
      </c>
    </row>
    <row r="8" spans="1:11" x14ac:dyDescent="0.25">
      <c r="A8" s="7" t="s">
        <v>16</v>
      </c>
      <c r="B8" s="2" t="str">
        <f>VLOOKUP(A8,'Base de Dados'!$D$2:$E$1048576,2,)</f>
        <v>Junior</v>
      </c>
      <c r="C8" s="2">
        <v>5</v>
      </c>
      <c r="D8" s="2">
        <f>VLOOKUP(B8,'Base de Dados'!$A$2:$B$7,2,FALSE)</f>
        <v>15</v>
      </c>
      <c r="E8" s="8">
        <f t="shared" si="0"/>
        <v>0.33333333333333331</v>
      </c>
      <c r="G8" s="7" t="s">
        <v>16</v>
      </c>
      <c r="H8" s="2" t="str">
        <f>VLOOKUP(G8,'Base de Dados'!$D$2:$E$1048576,2,)</f>
        <v>Junior</v>
      </c>
      <c r="I8" s="2">
        <v>5</v>
      </c>
      <c r="J8" s="2">
        <f>VLOOKUP(H8,'Base de Dados'!$A$2:$B$7,2,FALSE)</f>
        <v>15</v>
      </c>
      <c r="K8" s="8">
        <f t="shared" si="1"/>
        <v>0.33333333333333331</v>
      </c>
    </row>
    <row r="9" spans="1:11" x14ac:dyDescent="0.25">
      <c r="A9" s="7" t="s">
        <v>17</v>
      </c>
      <c r="B9" s="2" t="str">
        <f>VLOOKUP(A9,'Base de Dados'!$D$2:$E$1048576,2,)</f>
        <v>Especialista</v>
      </c>
      <c r="C9" s="2">
        <v>6</v>
      </c>
      <c r="D9" s="2">
        <f>VLOOKUP(B9,'Base de Dados'!$A$2:$B$7,2,FALSE)</f>
        <v>30</v>
      </c>
      <c r="E9" s="8">
        <f t="shared" si="0"/>
        <v>0.2</v>
      </c>
      <c r="G9" s="7" t="s">
        <v>17</v>
      </c>
      <c r="H9" s="2" t="str">
        <f>VLOOKUP(G9,'Base de Dados'!$D$2:$E$1048576,2,)</f>
        <v>Especialista</v>
      </c>
      <c r="I9" s="2">
        <v>4</v>
      </c>
      <c r="J9" s="2">
        <f>VLOOKUP(H9,'Base de Dados'!$A$2:$B$7,2,FALSE)</f>
        <v>30</v>
      </c>
      <c r="K9" s="8">
        <f t="shared" si="1"/>
        <v>0.13333333333333333</v>
      </c>
    </row>
    <row r="10" spans="1:11" x14ac:dyDescent="0.25">
      <c r="A10" s="7" t="s">
        <v>18</v>
      </c>
      <c r="B10" s="2" t="str">
        <f>VLOOKUP(A10,'Base de Dados'!$D$2:$E$1048576,2,)</f>
        <v>Junior</v>
      </c>
      <c r="C10" s="2">
        <v>7</v>
      </c>
      <c r="D10" s="2">
        <f>VLOOKUP(B10,'Base de Dados'!$A$2:$B$7,2,FALSE)</f>
        <v>15</v>
      </c>
      <c r="E10" s="8">
        <f t="shared" si="0"/>
        <v>0.46666666666666667</v>
      </c>
      <c r="G10" s="7" t="s">
        <v>18</v>
      </c>
      <c r="H10" s="2" t="str">
        <f>VLOOKUP(G10,'Base de Dados'!$D$2:$E$1048576,2,)</f>
        <v>Junior</v>
      </c>
      <c r="I10" s="2">
        <v>3</v>
      </c>
      <c r="J10" s="2">
        <f>VLOOKUP(H10,'Base de Dados'!$A$2:$B$7,2,FALSE)</f>
        <v>15</v>
      </c>
      <c r="K10" s="8">
        <f t="shared" si="1"/>
        <v>0.2</v>
      </c>
    </row>
    <row r="11" spans="1:11" x14ac:dyDescent="0.25">
      <c r="A11" s="7" t="s">
        <v>19</v>
      </c>
      <c r="B11" s="2" t="str">
        <f>VLOOKUP(A11,'Base de Dados'!$D$2:$E$1048576,2,)</f>
        <v>Junior</v>
      </c>
      <c r="C11" s="2">
        <v>8</v>
      </c>
      <c r="D11" s="2">
        <f>VLOOKUP(B11,'Base de Dados'!$A$2:$B$7,2,FALSE)</f>
        <v>15</v>
      </c>
      <c r="E11" s="8">
        <f t="shared" si="0"/>
        <v>0.53333333333333333</v>
      </c>
      <c r="G11" s="7" t="s">
        <v>19</v>
      </c>
      <c r="H11" s="2" t="str">
        <f>VLOOKUP(G11,'Base de Dados'!$D$2:$E$1048576,2,)</f>
        <v>Junior</v>
      </c>
      <c r="I11" s="2">
        <v>2</v>
      </c>
      <c r="J11" s="2">
        <f>VLOOKUP(H11,'Base de Dados'!$A$2:$B$7,2,FALSE)</f>
        <v>15</v>
      </c>
      <c r="K11" s="8">
        <f t="shared" si="1"/>
        <v>0.13333333333333333</v>
      </c>
    </row>
    <row r="12" spans="1:11" ht="15.75" thickBot="1" x14ac:dyDescent="0.3">
      <c r="A12" s="9" t="s">
        <v>20</v>
      </c>
      <c r="B12" s="10" t="str">
        <f>VLOOKUP(A12,'Base de Dados'!$D$2:$E$1048576,2,)</f>
        <v>Junior</v>
      </c>
      <c r="C12" s="10">
        <v>9</v>
      </c>
      <c r="D12" s="10">
        <f>VLOOKUP(B12,'Base de Dados'!$A$2:$B$7,2,FALSE)</f>
        <v>15</v>
      </c>
      <c r="E12" s="11">
        <f t="shared" si="0"/>
        <v>0.6</v>
      </c>
      <c r="G12" s="9" t="s">
        <v>20</v>
      </c>
      <c r="H12" s="10" t="str">
        <f>VLOOKUP(G12,'Base de Dados'!$D$2:$E$1048576,2,)</f>
        <v>Junior</v>
      </c>
      <c r="I12" s="10">
        <v>1</v>
      </c>
      <c r="J12" s="10">
        <f>VLOOKUP(H12,'Base de Dados'!$A$2:$B$7,2,FALSE)</f>
        <v>15</v>
      </c>
      <c r="K12" s="11">
        <f t="shared" si="1"/>
        <v>6.6666666666666666E-2</v>
      </c>
    </row>
    <row r="13" spans="1:11" ht="15.75" thickBot="1" x14ac:dyDescent="0.3"/>
    <row r="14" spans="1:11" x14ac:dyDescent="0.25">
      <c r="A14" s="18" t="s">
        <v>24</v>
      </c>
      <c r="B14" s="19"/>
      <c r="C14" s="19"/>
      <c r="D14" s="19"/>
      <c r="E14" s="20"/>
      <c r="G14" s="18" t="s">
        <v>25</v>
      </c>
      <c r="H14" s="19"/>
      <c r="I14" s="19"/>
      <c r="J14" s="19"/>
      <c r="K14" s="20"/>
    </row>
    <row r="15" spans="1:11" x14ac:dyDescent="0.25">
      <c r="A15" s="5" t="s">
        <v>0</v>
      </c>
      <c r="B15" s="4" t="s">
        <v>4</v>
      </c>
      <c r="C15" s="4" t="s">
        <v>1</v>
      </c>
      <c r="D15" s="4" t="s">
        <v>3</v>
      </c>
      <c r="E15" s="6" t="s">
        <v>9</v>
      </c>
      <c r="G15" s="5" t="s">
        <v>0</v>
      </c>
      <c r="H15" s="4" t="s">
        <v>4</v>
      </c>
      <c r="I15" s="4" t="s">
        <v>1</v>
      </c>
      <c r="J15" s="4" t="s">
        <v>3</v>
      </c>
      <c r="K15" s="6" t="s">
        <v>9</v>
      </c>
    </row>
    <row r="16" spans="1:11" x14ac:dyDescent="0.25">
      <c r="A16" s="7" t="s">
        <v>8</v>
      </c>
      <c r="B16" s="2" t="str">
        <f>VLOOKUP(A16,'Base de Dados'!$D$2:$E$1048576,2,)</f>
        <v>Pleno</v>
      </c>
      <c r="C16" s="2">
        <v>2</v>
      </c>
      <c r="D16" s="2">
        <f>VLOOKUP(B16,'Base de Dados'!$A$2:$B$7,2,FALSE)</f>
        <v>20</v>
      </c>
      <c r="E16" s="8">
        <f>C16/D16</f>
        <v>0.1</v>
      </c>
      <c r="G16" s="7" t="s">
        <v>8</v>
      </c>
      <c r="H16" s="2" t="str">
        <f>VLOOKUP(G16,'Base de Dados'!$D$2:$E$1048576,2,)</f>
        <v>Pleno</v>
      </c>
      <c r="I16" s="2">
        <v>1</v>
      </c>
      <c r="J16" s="2">
        <f>VLOOKUP(H16,'Base de Dados'!$A$2:$B$7,2,FALSE)</f>
        <v>20</v>
      </c>
      <c r="K16" s="8">
        <f>I16/J16</f>
        <v>0.05</v>
      </c>
    </row>
    <row r="17" spans="1:11" x14ac:dyDescent="0.25">
      <c r="A17" s="7" t="s">
        <v>13</v>
      </c>
      <c r="B17" s="2" t="str">
        <f>VLOOKUP(A17,'Base de Dados'!$D$2:$E$1048576,2,)</f>
        <v>Pleno</v>
      </c>
      <c r="C17" s="2">
        <v>4</v>
      </c>
      <c r="D17" s="2">
        <f>VLOOKUP(B17,'Base de Dados'!$A$2:$B$7,2,FALSE)</f>
        <v>20</v>
      </c>
      <c r="E17" s="8">
        <f t="shared" ref="E17:E24" si="2">C17/D17</f>
        <v>0.2</v>
      </c>
      <c r="G17" s="7" t="s">
        <v>13</v>
      </c>
      <c r="H17" s="2" t="str">
        <f>VLOOKUP(G17,'Base de Dados'!$D$2:$E$1048576,2,)</f>
        <v>Pleno</v>
      </c>
      <c r="I17" s="2">
        <v>2</v>
      </c>
      <c r="J17" s="2">
        <f>VLOOKUP(H17,'Base de Dados'!$A$2:$B$7,2,FALSE)</f>
        <v>20</v>
      </c>
      <c r="K17" s="8">
        <f t="shared" ref="K17:K24" si="3">I17/J17</f>
        <v>0.1</v>
      </c>
    </row>
    <row r="18" spans="1:11" x14ac:dyDescent="0.25">
      <c r="A18" s="7" t="s">
        <v>14</v>
      </c>
      <c r="B18" s="2" t="str">
        <f>VLOOKUP(A18,'Base de Dados'!$D$2:$E$1048576,2,)</f>
        <v>Pleno</v>
      </c>
      <c r="C18" s="2">
        <v>6</v>
      </c>
      <c r="D18" s="2">
        <f>VLOOKUP(B18,'Base de Dados'!$A$2:$B$7,2,FALSE)</f>
        <v>20</v>
      </c>
      <c r="E18" s="8">
        <f t="shared" si="2"/>
        <v>0.3</v>
      </c>
      <c r="G18" s="7" t="s">
        <v>14</v>
      </c>
      <c r="H18" s="2" t="str">
        <f>VLOOKUP(G18,'Base de Dados'!$D$2:$E$1048576,2,)</f>
        <v>Pleno</v>
      </c>
      <c r="I18" s="2">
        <v>3</v>
      </c>
      <c r="J18" s="2">
        <f>VLOOKUP(H18,'Base de Dados'!$A$2:$B$7,2,FALSE)</f>
        <v>20</v>
      </c>
      <c r="K18" s="8">
        <f t="shared" si="3"/>
        <v>0.15</v>
      </c>
    </row>
    <row r="19" spans="1:11" x14ac:dyDescent="0.25">
      <c r="A19" s="7" t="s">
        <v>15</v>
      </c>
      <c r="B19" s="2" t="str">
        <f>VLOOKUP(A19,'Base de Dados'!$D$2:$E$1048576,2,)</f>
        <v>Junior</v>
      </c>
      <c r="C19" s="2">
        <v>8</v>
      </c>
      <c r="D19" s="2">
        <f>VLOOKUP(B19,'Base de Dados'!$A$2:$B$7,2,FALSE)</f>
        <v>15</v>
      </c>
      <c r="E19" s="8">
        <f t="shared" si="2"/>
        <v>0.53333333333333333</v>
      </c>
      <c r="G19" s="7" t="s">
        <v>15</v>
      </c>
      <c r="H19" s="2" t="str">
        <f>VLOOKUP(G19,'Base de Dados'!$D$2:$E$1048576,2,)</f>
        <v>Junior</v>
      </c>
      <c r="I19" s="2">
        <v>5</v>
      </c>
      <c r="J19" s="2">
        <f>VLOOKUP(H19,'Base de Dados'!$A$2:$B$7,2,FALSE)</f>
        <v>15</v>
      </c>
      <c r="K19" s="8">
        <f t="shared" si="3"/>
        <v>0.33333333333333331</v>
      </c>
    </row>
    <row r="20" spans="1:11" x14ac:dyDescent="0.25">
      <c r="A20" s="7" t="s">
        <v>16</v>
      </c>
      <c r="B20" s="2" t="str">
        <f>VLOOKUP(A20,'Base de Dados'!$D$2:$E$1048576,2,)</f>
        <v>Junior</v>
      </c>
      <c r="C20" s="2">
        <v>10</v>
      </c>
      <c r="D20" s="2">
        <f>VLOOKUP(B20,'Base de Dados'!$A$2:$B$7,2,FALSE)</f>
        <v>15</v>
      </c>
      <c r="E20" s="8">
        <f t="shared" si="2"/>
        <v>0.66666666666666663</v>
      </c>
      <c r="G20" s="7" t="s">
        <v>16</v>
      </c>
      <c r="H20" s="2" t="str">
        <f>VLOOKUP(G20,'Base de Dados'!$D$2:$E$1048576,2,)</f>
        <v>Junior</v>
      </c>
      <c r="I20" s="2">
        <v>8</v>
      </c>
      <c r="J20" s="2">
        <f>VLOOKUP(H20,'Base de Dados'!$A$2:$B$7,2,FALSE)</f>
        <v>15</v>
      </c>
      <c r="K20" s="8">
        <f t="shared" si="3"/>
        <v>0.53333333333333333</v>
      </c>
    </row>
    <row r="21" spans="1:11" x14ac:dyDescent="0.25">
      <c r="A21" s="7" t="s">
        <v>17</v>
      </c>
      <c r="B21" s="2" t="str">
        <f>VLOOKUP(A21,'Base de Dados'!$D$2:$E$1048576,2,)</f>
        <v>Especialista</v>
      </c>
      <c r="C21" s="2">
        <v>12</v>
      </c>
      <c r="D21" s="2">
        <f>VLOOKUP(B21,'Base de Dados'!$A$2:$B$7,2,FALSE)</f>
        <v>30</v>
      </c>
      <c r="E21" s="8">
        <f t="shared" si="2"/>
        <v>0.4</v>
      </c>
      <c r="G21" s="7" t="s">
        <v>17</v>
      </c>
      <c r="H21" s="2" t="str">
        <f>VLOOKUP(G21,'Base de Dados'!$D$2:$E$1048576,2,)</f>
        <v>Especialista</v>
      </c>
      <c r="I21" s="2">
        <v>13</v>
      </c>
      <c r="J21" s="2">
        <f>VLOOKUP(H21,'Base de Dados'!$A$2:$B$7,2,FALSE)</f>
        <v>30</v>
      </c>
      <c r="K21" s="8">
        <f t="shared" si="3"/>
        <v>0.43333333333333335</v>
      </c>
    </row>
    <row r="22" spans="1:11" x14ac:dyDescent="0.25">
      <c r="A22" s="7" t="s">
        <v>18</v>
      </c>
      <c r="B22" s="2" t="str">
        <f>VLOOKUP(A22,'Base de Dados'!$D$2:$E$1048576,2,)</f>
        <v>Junior</v>
      </c>
      <c r="C22" s="2">
        <v>14</v>
      </c>
      <c r="D22" s="2">
        <f>VLOOKUP(B22,'Base de Dados'!$A$2:$B$7,2,FALSE)</f>
        <v>15</v>
      </c>
      <c r="E22" s="8">
        <f t="shared" si="2"/>
        <v>0.93333333333333335</v>
      </c>
      <c r="G22" s="7" t="s">
        <v>18</v>
      </c>
      <c r="H22" s="2" t="str">
        <f>VLOOKUP(G22,'Base de Dados'!$D$2:$E$1048576,2,)</f>
        <v>Junior</v>
      </c>
      <c r="I22" s="2">
        <v>21</v>
      </c>
      <c r="J22" s="2">
        <f>VLOOKUP(H22,'Base de Dados'!$A$2:$B$7,2,FALSE)</f>
        <v>15</v>
      </c>
      <c r="K22" s="8">
        <f t="shared" si="3"/>
        <v>1.4</v>
      </c>
    </row>
    <row r="23" spans="1:11" x14ac:dyDescent="0.25">
      <c r="A23" s="7" t="s">
        <v>19</v>
      </c>
      <c r="B23" s="2" t="str">
        <f>VLOOKUP(A23,'Base de Dados'!$D$2:$E$1048576,2,)</f>
        <v>Junior</v>
      </c>
      <c r="C23" s="2">
        <v>16</v>
      </c>
      <c r="D23" s="2">
        <f>VLOOKUP(B23,'Base de Dados'!$A$2:$B$7,2,FALSE)</f>
        <v>15</v>
      </c>
      <c r="E23" s="8">
        <f t="shared" si="2"/>
        <v>1.0666666666666667</v>
      </c>
      <c r="G23" s="7" t="s">
        <v>19</v>
      </c>
      <c r="H23" s="2" t="str">
        <f>VLOOKUP(G23,'Base de Dados'!$D$2:$E$1048576,2,)</f>
        <v>Junior</v>
      </c>
      <c r="I23" s="2">
        <v>44</v>
      </c>
      <c r="J23" s="2">
        <f>VLOOKUP(H23,'Base de Dados'!$A$2:$B$7,2,FALSE)</f>
        <v>15</v>
      </c>
      <c r="K23" s="8">
        <f t="shared" si="3"/>
        <v>2.9333333333333331</v>
      </c>
    </row>
    <row r="24" spans="1:11" ht="15.75" thickBot="1" x14ac:dyDescent="0.3">
      <c r="A24" s="9" t="s">
        <v>20</v>
      </c>
      <c r="B24" s="10" t="str">
        <f>VLOOKUP(A24,'Base de Dados'!$D$2:$E$1048576,2,)</f>
        <v>Junior</v>
      </c>
      <c r="C24" s="10">
        <v>18</v>
      </c>
      <c r="D24" s="10">
        <f>VLOOKUP(B24,'Base de Dados'!$A$2:$B$7,2,FALSE)</f>
        <v>15</v>
      </c>
      <c r="E24" s="11">
        <f t="shared" si="2"/>
        <v>1.2</v>
      </c>
      <c r="G24" s="9" t="s">
        <v>20</v>
      </c>
      <c r="H24" s="10" t="str">
        <f>VLOOKUP(G24,'Base de Dados'!$D$2:$E$1048576,2,)</f>
        <v>Junior</v>
      </c>
      <c r="I24" s="10">
        <v>65</v>
      </c>
      <c r="J24" s="10">
        <f>VLOOKUP(H24,'Base de Dados'!$A$2:$B$7,2,FALSE)</f>
        <v>15</v>
      </c>
      <c r="K24" s="11">
        <f t="shared" si="3"/>
        <v>4.333333333333333</v>
      </c>
    </row>
    <row r="25" spans="1:11" ht="15.75" thickBot="1" x14ac:dyDescent="0.3"/>
    <row r="26" spans="1:11" x14ac:dyDescent="0.25">
      <c r="A26" s="18" t="s">
        <v>26</v>
      </c>
      <c r="B26" s="19"/>
      <c r="C26" s="19"/>
      <c r="D26" s="19"/>
      <c r="E26" s="20"/>
    </row>
    <row r="27" spans="1:11" x14ac:dyDescent="0.25">
      <c r="A27" s="5" t="s">
        <v>0</v>
      </c>
      <c r="B27" s="4" t="s">
        <v>4</v>
      </c>
      <c r="C27" s="4" t="s">
        <v>1</v>
      </c>
      <c r="D27" s="4" t="s">
        <v>3</v>
      </c>
      <c r="E27" s="6" t="s">
        <v>9</v>
      </c>
    </row>
    <row r="28" spans="1:11" x14ac:dyDescent="0.25">
      <c r="A28" s="7" t="s">
        <v>8</v>
      </c>
      <c r="B28" s="2" t="str">
        <f>VLOOKUP(A28,'Base de Dados'!$D$2:$E$1048576,2,)</f>
        <v>Pleno</v>
      </c>
      <c r="C28" s="2">
        <v>2</v>
      </c>
      <c r="D28" s="2">
        <f>VLOOKUP(B28,'Base de Dados'!$A$2:$B$7,2,FALSE)</f>
        <v>20</v>
      </c>
      <c r="E28" s="8">
        <f>C28/D28</f>
        <v>0.1</v>
      </c>
    </row>
    <row r="29" spans="1:11" x14ac:dyDescent="0.25">
      <c r="A29" s="7" t="s">
        <v>13</v>
      </c>
      <c r="B29" s="2" t="str">
        <f>VLOOKUP(A29,'Base de Dados'!$D$2:$E$1048576,2,)</f>
        <v>Pleno</v>
      </c>
      <c r="C29" s="2">
        <v>4</v>
      </c>
      <c r="D29" s="2">
        <f>VLOOKUP(B29,'Base de Dados'!$A$2:$B$7,2,FALSE)</f>
        <v>20</v>
      </c>
      <c r="E29" s="8">
        <f t="shared" ref="E29:E36" si="4">C29/D29</f>
        <v>0.2</v>
      </c>
    </row>
    <row r="30" spans="1:11" x14ac:dyDescent="0.25">
      <c r="A30" s="7" t="s">
        <v>14</v>
      </c>
      <c r="B30" s="2" t="str">
        <f>VLOOKUP(A30,'Base de Dados'!$D$2:$E$1048576,2,)</f>
        <v>Pleno</v>
      </c>
      <c r="C30" s="2">
        <v>8</v>
      </c>
      <c r="D30" s="2">
        <f>VLOOKUP(B30,'Base de Dados'!$A$2:$B$7,2,FALSE)</f>
        <v>20</v>
      </c>
      <c r="E30" s="8">
        <f t="shared" si="4"/>
        <v>0.4</v>
      </c>
    </row>
    <row r="31" spans="1:11" x14ac:dyDescent="0.25">
      <c r="A31" s="7" t="s">
        <v>15</v>
      </c>
      <c r="B31" s="2" t="str">
        <f>VLOOKUP(A31,'Base de Dados'!$D$2:$E$1048576,2,)</f>
        <v>Junior</v>
      </c>
      <c r="C31" s="2">
        <v>16</v>
      </c>
      <c r="D31" s="2">
        <f>VLOOKUP(B31,'Base de Dados'!$A$2:$B$7,2,FALSE)</f>
        <v>15</v>
      </c>
      <c r="E31" s="8">
        <f t="shared" si="4"/>
        <v>1.0666666666666667</v>
      </c>
    </row>
    <row r="32" spans="1:11" x14ac:dyDescent="0.25">
      <c r="A32" s="7" t="s">
        <v>16</v>
      </c>
      <c r="B32" s="2" t="str">
        <f>VLOOKUP(A32,'Base de Dados'!$D$2:$E$1048576,2,)</f>
        <v>Junior</v>
      </c>
      <c r="C32" s="2">
        <v>32</v>
      </c>
      <c r="D32" s="2">
        <f>VLOOKUP(B32,'Base de Dados'!$A$2:$B$7,2,FALSE)</f>
        <v>15</v>
      </c>
      <c r="E32" s="8">
        <f t="shared" si="4"/>
        <v>2.1333333333333333</v>
      </c>
    </row>
    <row r="33" spans="1:5" x14ac:dyDescent="0.25">
      <c r="A33" s="7" t="s">
        <v>17</v>
      </c>
      <c r="B33" s="2" t="str">
        <f>VLOOKUP(A33,'Base de Dados'!$D$2:$E$1048576,2,)</f>
        <v>Especialista</v>
      </c>
      <c r="C33" s="2">
        <v>64</v>
      </c>
      <c r="D33" s="2">
        <f>VLOOKUP(B33,'Base de Dados'!$A$2:$B$7,2,FALSE)</f>
        <v>30</v>
      </c>
      <c r="E33" s="8">
        <f t="shared" si="4"/>
        <v>2.1333333333333333</v>
      </c>
    </row>
    <row r="34" spans="1:5" x14ac:dyDescent="0.25">
      <c r="A34" s="7" t="s">
        <v>18</v>
      </c>
      <c r="B34" s="2" t="str">
        <f>VLOOKUP(A34,'Base de Dados'!$D$2:$E$1048576,2,)</f>
        <v>Junior</v>
      </c>
      <c r="C34" s="2">
        <v>128</v>
      </c>
      <c r="D34" s="2">
        <f>VLOOKUP(B34,'Base de Dados'!$A$2:$B$7,2,FALSE)</f>
        <v>15</v>
      </c>
      <c r="E34" s="8">
        <f t="shared" si="4"/>
        <v>8.5333333333333332</v>
      </c>
    </row>
    <row r="35" spans="1:5" x14ac:dyDescent="0.25">
      <c r="A35" s="7" t="s">
        <v>19</v>
      </c>
      <c r="B35" s="2" t="str">
        <f>VLOOKUP(A35,'Base de Dados'!$D$2:$E$1048576,2,)</f>
        <v>Junior</v>
      </c>
      <c r="C35" s="2">
        <v>256</v>
      </c>
      <c r="D35" s="2">
        <f>VLOOKUP(B35,'Base de Dados'!$A$2:$B$7,2,FALSE)</f>
        <v>15</v>
      </c>
      <c r="E35" s="8">
        <f t="shared" si="4"/>
        <v>17.066666666666666</v>
      </c>
    </row>
    <row r="36" spans="1:5" ht="15.75" thickBot="1" x14ac:dyDescent="0.3">
      <c r="A36" s="9" t="s">
        <v>20</v>
      </c>
      <c r="B36" s="10" t="str">
        <f>VLOOKUP(A36,'Base de Dados'!$D$2:$E$1048576,2,)</f>
        <v>Junior</v>
      </c>
      <c r="C36" s="10">
        <v>512</v>
      </c>
      <c r="D36" s="10">
        <f>VLOOKUP(B36,'Base de Dados'!$A$2:$B$7,2,FALSE)</f>
        <v>15</v>
      </c>
      <c r="E36" s="11">
        <f t="shared" si="4"/>
        <v>34.133333333333333</v>
      </c>
    </row>
  </sheetData>
  <mergeCells count="6">
    <mergeCell ref="A26:E26"/>
    <mergeCell ref="A1:K1"/>
    <mergeCell ref="A2:E2"/>
    <mergeCell ref="G2:K2"/>
    <mergeCell ref="A14:E14"/>
    <mergeCell ref="G14:K14"/>
  </mergeCells>
  <conditionalFormatting sqref="E16:E24">
    <cfRule type="dataBar" priority="5">
      <dataBar>
        <cfvo type="percent" val="0"/>
        <cfvo type="percent" val="100"/>
        <color theme="8" tint="-0.249977111117893"/>
      </dataBar>
      <extLst>
        <ext xmlns:x14="http://schemas.microsoft.com/office/spreadsheetml/2009/9/main" uri="{B025F937-C7B1-47D3-B67F-A62EFF666E3E}">
          <x14:id>{3CF3A6FE-7381-400A-B704-79F3D42D989F}</x14:id>
        </ext>
      </extLst>
    </cfRule>
  </conditionalFormatting>
  <conditionalFormatting sqref="E4:E12">
    <cfRule type="dataBar" priority="4">
      <dataBar>
        <cfvo type="percent" val="0"/>
        <cfvo type="percent" val="100"/>
        <color theme="8" tint="-0.249977111117893"/>
      </dataBar>
      <extLst>
        <ext xmlns:x14="http://schemas.microsoft.com/office/spreadsheetml/2009/9/main" uri="{B025F937-C7B1-47D3-B67F-A62EFF666E3E}">
          <x14:id>{EEA4404F-7383-4611-AA98-5F0058BDBE56}</x14:id>
        </ext>
      </extLst>
    </cfRule>
  </conditionalFormatting>
  <conditionalFormatting sqref="K4:K12">
    <cfRule type="dataBar" priority="3">
      <dataBar>
        <cfvo type="percent" val="0"/>
        <cfvo type="percent" val="100"/>
        <color theme="8" tint="-0.249977111117893"/>
      </dataBar>
      <extLst>
        <ext xmlns:x14="http://schemas.microsoft.com/office/spreadsheetml/2009/9/main" uri="{B025F937-C7B1-47D3-B67F-A62EFF666E3E}">
          <x14:id>{C1F83B7D-4C80-446F-90B2-63CA4A60911A}</x14:id>
        </ext>
      </extLst>
    </cfRule>
  </conditionalFormatting>
  <conditionalFormatting sqref="K16:K24">
    <cfRule type="dataBar" priority="2">
      <dataBar>
        <cfvo type="percent" val="0"/>
        <cfvo type="percent" val="100"/>
        <color theme="8" tint="-0.249977111117893"/>
      </dataBar>
      <extLst>
        <ext xmlns:x14="http://schemas.microsoft.com/office/spreadsheetml/2009/9/main" uri="{B025F937-C7B1-47D3-B67F-A62EFF666E3E}">
          <x14:id>{9A023F09-4C37-4B3E-84D4-47614BE2C743}</x14:id>
        </ext>
      </extLst>
    </cfRule>
  </conditionalFormatting>
  <conditionalFormatting sqref="E28:E36">
    <cfRule type="dataBar" priority="1">
      <dataBar>
        <cfvo type="percent" val="0"/>
        <cfvo type="percent" val="100"/>
        <color theme="8" tint="-0.249977111117893"/>
      </dataBar>
      <extLst>
        <ext xmlns:x14="http://schemas.microsoft.com/office/spreadsheetml/2009/9/main" uri="{B025F937-C7B1-47D3-B67F-A62EFF666E3E}">
          <x14:id>{1396FBB3-17F6-4715-9527-AED0E4BA72CA}</x14:id>
        </ext>
      </extLst>
    </cfRule>
  </conditionalFormatting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CF3A6FE-7381-400A-B704-79F3D42D989F}">
            <x14:dataBar minLength="0" maxLength="100" direction="leftToRight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E16:E24</xm:sqref>
        </x14:conditionalFormatting>
        <x14:conditionalFormatting xmlns:xm="http://schemas.microsoft.com/office/excel/2006/main">
          <x14:cfRule type="dataBar" id="{EEA4404F-7383-4611-AA98-5F0058BDBE56}">
            <x14:dataBar minLength="0" maxLength="100" direction="leftToRight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E4:E12</xm:sqref>
        </x14:conditionalFormatting>
        <x14:conditionalFormatting xmlns:xm="http://schemas.microsoft.com/office/excel/2006/main">
          <x14:cfRule type="dataBar" id="{C1F83B7D-4C80-446F-90B2-63CA4A60911A}">
            <x14:dataBar minLength="0" maxLength="100" direction="leftToRight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K4:K12</xm:sqref>
        </x14:conditionalFormatting>
        <x14:conditionalFormatting xmlns:xm="http://schemas.microsoft.com/office/excel/2006/main">
          <x14:cfRule type="dataBar" id="{9A023F09-4C37-4B3E-84D4-47614BE2C743}">
            <x14:dataBar minLength="0" maxLength="100" direction="leftToRight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K16:K24</xm:sqref>
        </x14:conditionalFormatting>
        <x14:conditionalFormatting xmlns:xm="http://schemas.microsoft.com/office/excel/2006/main">
          <x14:cfRule type="dataBar" id="{1396FBB3-17F6-4715-9527-AED0E4BA72CA}">
            <x14:dataBar minLength="0" maxLength="100" direction="leftToRight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E28:E36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EB712C3-55A6-44D1-BD66-2C74F6EFC4BB}">
          <x14:formula1>
            <xm:f>'Base de Dados'!$D$2:$D$1048576</xm:f>
          </x14:formula1>
          <xm:sqref>G4:G12 A4:A13 A16:A24 G16:G24 A28:A36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F076D-B6A3-4E74-8646-6A767A6D7B77}">
  <sheetPr codeName="Planilha8"/>
  <dimension ref="A1:K36"/>
  <sheetViews>
    <sheetView showGridLines="0" workbookViewId="0">
      <selection sqref="A1:K1"/>
    </sheetView>
  </sheetViews>
  <sheetFormatPr defaultRowHeight="15" x14ac:dyDescent="0.25"/>
  <cols>
    <col min="1" max="1" width="17.5703125" bestFit="1" customWidth="1"/>
    <col min="2" max="2" width="11.7109375" bestFit="1" customWidth="1"/>
    <col min="3" max="3" width="10.28515625" bestFit="1" customWidth="1"/>
    <col min="4" max="4" width="5.85546875" bestFit="1" customWidth="1"/>
    <col min="5" max="5" width="9.85546875" style="1" bestFit="1" customWidth="1"/>
    <col min="6" max="6" width="2.7109375" customWidth="1"/>
    <col min="7" max="7" width="17.5703125" bestFit="1" customWidth="1"/>
    <col min="8" max="8" width="11.7109375" bestFit="1" customWidth="1"/>
    <col min="9" max="9" width="10.28515625" bestFit="1" customWidth="1"/>
    <col min="10" max="10" width="5.85546875" bestFit="1" customWidth="1"/>
    <col min="11" max="11" width="8.7109375" bestFit="1" customWidth="1"/>
  </cols>
  <sheetData>
    <row r="1" spans="1:11" ht="19.5" thickBot="1" x14ac:dyDescent="0.45">
      <c r="A1" s="21" t="s">
        <v>31</v>
      </c>
      <c r="B1" s="21"/>
      <c r="C1" s="21"/>
      <c r="D1" s="21"/>
      <c r="E1" s="21"/>
      <c r="F1" s="21"/>
      <c r="G1" s="21"/>
      <c r="H1" s="21"/>
      <c r="I1" s="21"/>
      <c r="J1" s="21"/>
      <c r="K1" s="21"/>
    </row>
    <row r="2" spans="1:11" x14ac:dyDescent="0.25">
      <c r="A2" s="18" t="s">
        <v>22</v>
      </c>
      <c r="B2" s="19"/>
      <c r="C2" s="19"/>
      <c r="D2" s="19"/>
      <c r="E2" s="20"/>
      <c r="G2" s="18" t="s">
        <v>23</v>
      </c>
      <c r="H2" s="19"/>
      <c r="I2" s="19"/>
      <c r="J2" s="19"/>
      <c r="K2" s="20"/>
    </row>
    <row r="3" spans="1:11" x14ac:dyDescent="0.25">
      <c r="A3" s="5" t="s">
        <v>0</v>
      </c>
      <c r="B3" s="4" t="s">
        <v>4</v>
      </c>
      <c r="C3" s="4" t="s">
        <v>1</v>
      </c>
      <c r="D3" s="4" t="s">
        <v>3</v>
      </c>
      <c r="E3" s="6" t="s">
        <v>9</v>
      </c>
      <c r="G3" s="5" t="s">
        <v>0</v>
      </c>
      <c r="H3" s="4" t="s">
        <v>4</v>
      </c>
      <c r="I3" s="4" t="s">
        <v>1</v>
      </c>
      <c r="J3" s="4" t="s">
        <v>3</v>
      </c>
      <c r="K3" s="6" t="s">
        <v>9</v>
      </c>
    </row>
    <row r="4" spans="1:11" x14ac:dyDescent="0.25">
      <c r="A4" s="7" t="s">
        <v>8</v>
      </c>
      <c r="B4" s="2" t="str">
        <f>VLOOKUP(A4,'Base de Dados'!$D$2:$E$1048576,2,)</f>
        <v>Pleno</v>
      </c>
      <c r="C4" s="2">
        <v>1</v>
      </c>
      <c r="D4" s="2">
        <f>VLOOKUP(B4,'Base de Dados'!$A$2:$B$7,2,FALSE)</f>
        <v>20</v>
      </c>
      <c r="E4" s="8">
        <f>C4/D4</f>
        <v>0.05</v>
      </c>
      <c r="G4" s="7" t="s">
        <v>8</v>
      </c>
      <c r="H4" s="2" t="str">
        <f>VLOOKUP(G4,'Base de Dados'!$D$2:$E$1048576,2,)</f>
        <v>Pleno</v>
      </c>
      <c r="I4" s="2">
        <v>9</v>
      </c>
      <c r="J4" s="2">
        <f>VLOOKUP(H4,'Base de Dados'!$A$2:$B$7,2,FALSE)</f>
        <v>20</v>
      </c>
      <c r="K4" s="8">
        <f>I4/J4</f>
        <v>0.45</v>
      </c>
    </row>
    <row r="5" spans="1:11" x14ac:dyDescent="0.25">
      <c r="A5" s="7" t="s">
        <v>13</v>
      </c>
      <c r="B5" s="2" t="str">
        <f>VLOOKUP(A5,'Base de Dados'!$D$2:$E$1048576,2,)</f>
        <v>Pleno</v>
      </c>
      <c r="C5" s="2">
        <v>2</v>
      </c>
      <c r="D5" s="2">
        <f>VLOOKUP(B5,'Base de Dados'!$A$2:$B$7,2,FALSE)</f>
        <v>20</v>
      </c>
      <c r="E5" s="8">
        <f t="shared" ref="E5:E12" si="0">C5/D5</f>
        <v>0.1</v>
      </c>
      <c r="G5" s="7" t="s">
        <v>13</v>
      </c>
      <c r="H5" s="2" t="str">
        <f>VLOOKUP(G5,'Base de Dados'!$D$2:$E$1048576,2,)</f>
        <v>Pleno</v>
      </c>
      <c r="I5" s="2">
        <v>8</v>
      </c>
      <c r="J5" s="2">
        <f>VLOOKUP(H5,'Base de Dados'!$A$2:$B$7,2,FALSE)</f>
        <v>20</v>
      </c>
      <c r="K5" s="8">
        <f t="shared" ref="K5:K12" si="1">I5/J5</f>
        <v>0.4</v>
      </c>
    </row>
    <row r="6" spans="1:11" x14ac:dyDescent="0.25">
      <c r="A6" s="7" t="s">
        <v>14</v>
      </c>
      <c r="B6" s="2" t="str">
        <f>VLOOKUP(A6,'Base de Dados'!$D$2:$E$1048576,2,)</f>
        <v>Pleno</v>
      </c>
      <c r="C6" s="2">
        <v>3</v>
      </c>
      <c r="D6" s="2">
        <f>VLOOKUP(B6,'Base de Dados'!$A$2:$B$7,2,FALSE)</f>
        <v>20</v>
      </c>
      <c r="E6" s="8">
        <f t="shared" si="0"/>
        <v>0.15</v>
      </c>
      <c r="G6" s="7" t="s">
        <v>14</v>
      </c>
      <c r="H6" s="2" t="str">
        <f>VLOOKUP(G6,'Base de Dados'!$D$2:$E$1048576,2,)</f>
        <v>Pleno</v>
      </c>
      <c r="I6" s="2">
        <v>7</v>
      </c>
      <c r="J6" s="2">
        <f>VLOOKUP(H6,'Base de Dados'!$A$2:$B$7,2,FALSE)</f>
        <v>20</v>
      </c>
      <c r="K6" s="8">
        <f t="shared" si="1"/>
        <v>0.35</v>
      </c>
    </row>
    <row r="7" spans="1:11" x14ac:dyDescent="0.25">
      <c r="A7" s="7" t="s">
        <v>15</v>
      </c>
      <c r="B7" s="2" t="str">
        <f>VLOOKUP(A7,'Base de Dados'!$D$2:$E$1048576,2,)</f>
        <v>Junior</v>
      </c>
      <c r="C7" s="2">
        <v>4</v>
      </c>
      <c r="D7" s="2">
        <f>VLOOKUP(B7,'Base de Dados'!$A$2:$B$7,2,FALSE)</f>
        <v>15</v>
      </c>
      <c r="E7" s="8">
        <f t="shared" si="0"/>
        <v>0.26666666666666666</v>
      </c>
      <c r="G7" s="7" t="s">
        <v>15</v>
      </c>
      <c r="H7" s="2" t="str">
        <f>VLOOKUP(G7,'Base de Dados'!$D$2:$E$1048576,2,)</f>
        <v>Junior</v>
      </c>
      <c r="I7" s="2">
        <v>6</v>
      </c>
      <c r="J7" s="2">
        <f>VLOOKUP(H7,'Base de Dados'!$A$2:$B$7,2,FALSE)</f>
        <v>15</v>
      </c>
      <c r="K7" s="8">
        <f t="shared" si="1"/>
        <v>0.4</v>
      </c>
    </row>
    <row r="8" spans="1:11" x14ac:dyDescent="0.25">
      <c r="A8" s="7" t="s">
        <v>16</v>
      </c>
      <c r="B8" s="2" t="str">
        <f>VLOOKUP(A8,'Base de Dados'!$D$2:$E$1048576,2,)</f>
        <v>Junior</v>
      </c>
      <c r="C8" s="2">
        <v>5</v>
      </c>
      <c r="D8" s="2">
        <f>VLOOKUP(B8,'Base de Dados'!$A$2:$B$7,2,FALSE)</f>
        <v>15</v>
      </c>
      <c r="E8" s="8">
        <f t="shared" si="0"/>
        <v>0.33333333333333331</v>
      </c>
      <c r="G8" s="7" t="s">
        <v>16</v>
      </c>
      <c r="H8" s="2" t="str">
        <f>VLOOKUP(G8,'Base de Dados'!$D$2:$E$1048576,2,)</f>
        <v>Junior</v>
      </c>
      <c r="I8" s="2">
        <v>5</v>
      </c>
      <c r="J8" s="2">
        <f>VLOOKUP(H8,'Base de Dados'!$A$2:$B$7,2,FALSE)</f>
        <v>15</v>
      </c>
      <c r="K8" s="8">
        <f t="shared" si="1"/>
        <v>0.33333333333333331</v>
      </c>
    </row>
    <row r="9" spans="1:11" x14ac:dyDescent="0.25">
      <c r="A9" s="7" t="s">
        <v>17</v>
      </c>
      <c r="B9" s="2" t="str">
        <f>VLOOKUP(A9,'Base de Dados'!$D$2:$E$1048576,2,)</f>
        <v>Especialista</v>
      </c>
      <c r="C9" s="2">
        <v>6</v>
      </c>
      <c r="D9" s="2">
        <f>VLOOKUP(B9,'Base de Dados'!$A$2:$B$7,2,FALSE)</f>
        <v>30</v>
      </c>
      <c r="E9" s="8">
        <f t="shared" si="0"/>
        <v>0.2</v>
      </c>
      <c r="G9" s="7" t="s">
        <v>17</v>
      </c>
      <c r="H9" s="2" t="str">
        <f>VLOOKUP(G9,'Base de Dados'!$D$2:$E$1048576,2,)</f>
        <v>Especialista</v>
      </c>
      <c r="I9" s="2">
        <v>4</v>
      </c>
      <c r="J9" s="2">
        <f>VLOOKUP(H9,'Base de Dados'!$A$2:$B$7,2,FALSE)</f>
        <v>30</v>
      </c>
      <c r="K9" s="8">
        <f t="shared" si="1"/>
        <v>0.13333333333333333</v>
      </c>
    </row>
    <row r="10" spans="1:11" x14ac:dyDescent="0.25">
      <c r="A10" s="7" t="s">
        <v>18</v>
      </c>
      <c r="B10" s="2" t="str">
        <f>VLOOKUP(A10,'Base de Dados'!$D$2:$E$1048576,2,)</f>
        <v>Junior</v>
      </c>
      <c r="C10" s="2">
        <v>7</v>
      </c>
      <c r="D10" s="2">
        <f>VLOOKUP(B10,'Base de Dados'!$A$2:$B$7,2,FALSE)</f>
        <v>15</v>
      </c>
      <c r="E10" s="8">
        <f t="shared" si="0"/>
        <v>0.46666666666666667</v>
      </c>
      <c r="G10" s="7" t="s">
        <v>18</v>
      </c>
      <c r="H10" s="2" t="str">
        <f>VLOOKUP(G10,'Base de Dados'!$D$2:$E$1048576,2,)</f>
        <v>Junior</v>
      </c>
      <c r="I10" s="2">
        <v>3</v>
      </c>
      <c r="J10" s="2">
        <f>VLOOKUP(H10,'Base de Dados'!$A$2:$B$7,2,FALSE)</f>
        <v>15</v>
      </c>
      <c r="K10" s="8">
        <f t="shared" si="1"/>
        <v>0.2</v>
      </c>
    </row>
    <row r="11" spans="1:11" x14ac:dyDescent="0.25">
      <c r="A11" s="7" t="s">
        <v>19</v>
      </c>
      <c r="B11" s="2" t="str">
        <f>VLOOKUP(A11,'Base de Dados'!$D$2:$E$1048576,2,)</f>
        <v>Junior</v>
      </c>
      <c r="C11" s="2">
        <v>8</v>
      </c>
      <c r="D11" s="2">
        <f>VLOOKUP(B11,'Base de Dados'!$A$2:$B$7,2,FALSE)</f>
        <v>15</v>
      </c>
      <c r="E11" s="8">
        <f t="shared" si="0"/>
        <v>0.53333333333333333</v>
      </c>
      <c r="G11" s="7" t="s">
        <v>19</v>
      </c>
      <c r="H11" s="2" t="str">
        <f>VLOOKUP(G11,'Base de Dados'!$D$2:$E$1048576,2,)</f>
        <v>Junior</v>
      </c>
      <c r="I11" s="2">
        <v>2</v>
      </c>
      <c r="J11" s="2">
        <f>VLOOKUP(H11,'Base de Dados'!$A$2:$B$7,2,FALSE)</f>
        <v>15</v>
      </c>
      <c r="K11" s="8">
        <f t="shared" si="1"/>
        <v>0.13333333333333333</v>
      </c>
    </row>
    <row r="12" spans="1:11" ht="15.75" thickBot="1" x14ac:dyDescent="0.3">
      <c r="A12" s="9" t="s">
        <v>20</v>
      </c>
      <c r="B12" s="10" t="str">
        <f>VLOOKUP(A12,'Base de Dados'!$D$2:$E$1048576,2,)</f>
        <v>Junior</v>
      </c>
      <c r="C12" s="10">
        <v>9</v>
      </c>
      <c r="D12" s="10">
        <f>VLOOKUP(B12,'Base de Dados'!$A$2:$B$7,2,FALSE)</f>
        <v>15</v>
      </c>
      <c r="E12" s="11">
        <f t="shared" si="0"/>
        <v>0.6</v>
      </c>
      <c r="G12" s="9" t="s">
        <v>20</v>
      </c>
      <c r="H12" s="10" t="str">
        <f>VLOOKUP(G12,'Base de Dados'!$D$2:$E$1048576,2,)</f>
        <v>Junior</v>
      </c>
      <c r="I12" s="10">
        <v>1</v>
      </c>
      <c r="J12" s="10">
        <f>VLOOKUP(H12,'Base de Dados'!$A$2:$B$7,2,FALSE)</f>
        <v>15</v>
      </c>
      <c r="K12" s="11">
        <f t="shared" si="1"/>
        <v>6.6666666666666666E-2</v>
      </c>
    </row>
    <row r="13" spans="1:11" ht="15.75" thickBot="1" x14ac:dyDescent="0.3"/>
    <row r="14" spans="1:11" x14ac:dyDescent="0.25">
      <c r="A14" s="18" t="s">
        <v>24</v>
      </c>
      <c r="B14" s="19"/>
      <c r="C14" s="19"/>
      <c r="D14" s="19"/>
      <c r="E14" s="20"/>
      <c r="G14" s="18" t="s">
        <v>25</v>
      </c>
      <c r="H14" s="19"/>
      <c r="I14" s="19"/>
      <c r="J14" s="19"/>
      <c r="K14" s="20"/>
    </row>
    <row r="15" spans="1:11" x14ac:dyDescent="0.25">
      <c r="A15" s="5" t="s">
        <v>0</v>
      </c>
      <c r="B15" s="4" t="s">
        <v>4</v>
      </c>
      <c r="C15" s="4" t="s">
        <v>1</v>
      </c>
      <c r="D15" s="4" t="s">
        <v>3</v>
      </c>
      <c r="E15" s="6" t="s">
        <v>9</v>
      </c>
      <c r="G15" s="5" t="s">
        <v>0</v>
      </c>
      <c r="H15" s="4" t="s">
        <v>4</v>
      </c>
      <c r="I15" s="4" t="s">
        <v>1</v>
      </c>
      <c r="J15" s="4" t="s">
        <v>3</v>
      </c>
      <c r="K15" s="6" t="s">
        <v>9</v>
      </c>
    </row>
    <row r="16" spans="1:11" x14ac:dyDescent="0.25">
      <c r="A16" s="7" t="s">
        <v>8</v>
      </c>
      <c r="B16" s="2" t="str">
        <f>VLOOKUP(A16,'Base de Dados'!$D$2:$E$1048576,2,)</f>
        <v>Pleno</v>
      </c>
      <c r="C16" s="2">
        <v>2</v>
      </c>
      <c r="D16" s="2">
        <f>VLOOKUP(B16,'Base de Dados'!$A$2:$B$7,2,FALSE)</f>
        <v>20</v>
      </c>
      <c r="E16" s="8">
        <f>C16/D16</f>
        <v>0.1</v>
      </c>
      <c r="G16" s="7" t="s">
        <v>8</v>
      </c>
      <c r="H16" s="2" t="str">
        <f>VLOOKUP(G16,'Base de Dados'!$D$2:$E$1048576,2,)</f>
        <v>Pleno</v>
      </c>
      <c r="I16" s="2">
        <v>1</v>
      </c>
      <c r="J16" s="2">
        <f>VLOOKUP(H16,'Base de Dados'!$A$2:$B$7,2,FALSE)</f>
        <v>20</v>
      </c>
      <c r="K16" s="8">
        <f>I16/J16</f>
        <v>0.05</v>
      </c>
    </row>
    <row r="17" spans="1:11" x14ac:dyDescent="0.25">
      <c r="A17" s="7" t="s">
        <v>13</v>
      </c>
      <c r="B17" s="2" t="str">
        <f>VLOOKUP(A17,'Base de Dados'!$D$2:$E$1048576,2,)</f>
        <v>Pleno</v>
      </c>
      <c r="C17" s="2">
        <v>4</v>
      </c>
      <c r="D17" s="2">
        <f>VLOOKUP(B17,'Base de Dados'!$A$2:$B$7,2,FALSE)</f>
        <v>20</v>
      </c>
      <c r="E17" s="8">
        <f t="shared" ref="E17:E24" si="2">C17/D17</f>
        <v>0.2</v>
      </c>
      <c r="G17" s="7" t="s">
        <v>13</v>
      </c>
      <c r="H17" s="2" t="str">
        <f>VLOOKUP(G17,'Base de Dados'!$D$2:$E$1048576,2,)</f>
        <v>Pleno</v>
      </c>
      <c r="I17" s="2">
        <v>2</v>
      </c>
      <c r="J17" s="2">
        <f>VLOOKUP(H17,'Base de Dados'!$A$2:$B$7,2,FALSE)</f>
        <v>20</v>
      </c>
      <c r="K17" s="8">
        <f t="shared" ref="K17:K24" si="3">I17/J17</f>
        <v>0.1</v>
      </c>
    </row>
    <row r="18" spans="1:11" x14ac:dyDescent="0.25">
      <c r="A18" s="7" t="s">
        <v>14</v>
      </c>
      <c r="B18" s="2" t="str">
        <f>VLOOKUP(A18,'Base de Dados'!$D$2:$E$1048576,2,)</f>
        <v>Pleno</v>
      </c>
      <c r="C18" s="2">
        <v>6</v>
      </c>
      <c r="D18" s="2">
        <f>VLOOKUP(B18,'Base de Dados'!$A$2:$B$7,2,FALSE)</f>
        <v>20</v>
      </c>
      <c r="E18" s="8">
        <f t="shared" si="2"/>
        <v>0.3</v>
      </c>
      <c r="G18" s="7" t="s">
        <v>14</v>
      </c>
      <c r="H18" s="2" t="str">
        <f>VLOOKUP(G18,'Base de Dados'!$D$2:$E$1048576,2,)</f>
        <v>Pleno</v>
      </c>
      <c r="I18" s="2">
        <v>3</v>
      </c>
      <c r="J18" s="2">
        <f>VLOOKUP(H18,'Base de Dados'!$A$2:$B$7,2,FALSE)</f>
        <v>20</v>
      </c>
      <c r="K18" s="8">
        <f t="shared" si="3"/>
        <v>0.15</v>
      </c>
    </row>
    <row r="19" spans="1:11" x14ac:dyDescent="0.25">
      <c r="A19" s="7" t="s">
        <v>15</v>
      </c>
      <c r="B19" s="2" t="str">
        <f>VLOOKUP(A19,'Base de Dados'!$D$2:$E$1048576,2,)</f>
        <v>Junior</v>
      </c>
      <c r="C19" s="2">
        <v>8</v>
      </c>
      <c r="D19" s="2">
        <f>VLOOKUP(B19,'Base de Dados'!$A$2:$B$7,2,FALSE)</f>
        <v>15</v>
      </c>
      <c r="E19" s="8">
        <f t="shared" si="2"/>
        <v>0.53333333333333333</v>
      </c>
      <c r="G19" s="7" t="s">
        <v>15</v>
      </c>
      <c r="H19" s="2" t="str">
        <f>VLOOKUP(G19,'Base de Dados'!$D$2:$E$1048576,2,)</f>
        <v>Junior</v>
      </c>
      <c r="I19" s="2">
        <v>5</v>
      </c>
      <c r="J19" s="2">
        <f>VLOOKUP(H19,'Base de Dados'!$A$2:$B$7,2,FALSE)</f>
        <v>15</v>
      </c>
      <c r="K19" s="8">
        <f t="shared" si="3"/>
        <v>0.33333333333333331</v>
      </c>
    </row>
    <row r="20" spans="1:11" x14ac:dyDescent="0.25">
      <c r="A20" s="7" t="s">
        <v>16</v>
      </c>
      <c r="B20" s="2" t="str">
        <f>VLOOKUP(A20,'Base de Dados'!$D$2:$E$1048576,2,)</f>
        <v>Junior</v>
      </c>
      <c r="C20" s="2">
        <v>10</v>
      </c>
      <c r="D20" s="2">
        <f>VLOOKUP(B20,'Base de Dados'!$A$2:$B$7,2,FALSE)</f>
        <v>15</v>
      </c>
      <c r="E20" s="8">
        <f t="shared" si="2"/>
        <v>0.66666666666666663</v>
      </c>
      <c r="G20" s="7" t="s">
        <v>16</v>
      </c>
      <c r="H20" s="2" t="str">
        <f>VLOOKUP(G20,'Base de Dados'!$D$2:$E$1048576,2,)</f>
        <v>Junior</v>
      </c>
      <c r="I20" s="2">
        <v>8</v>
      </c>
      <c r="J20" s="2">
        <f>VLOOKUP(H20,'Base de Dados'!$A$2:$B$7,2,FALSE)</f>
        <v>15</v>
      </c>
      <c r="K20" s="8">
        <f t="shared" si="3"/>
        <v>0.53333333333333333</v>
      </c>
    </row>
    <row r="21" spans="1:11" x14ac:dyDescent="0.25">
      <c r="A21" s="7" t="s">
        <v>17</v>
      </c>
      <c r="B21" s="2" t="str">
        <f>VLOOKUP(A21,'Base de Dados'!$D$2:$E$1048576,2,)</f>
        <v>Especialista</v>
      </c>
      <c r="C21" s="2">
        <v>12</v>
      </c>
      <c r="D21" s="2">
        <f>VLOOKUP(B21,'Base de Dados'!$A$2:$B$7,2,FALSE)</f>
        <v>30</v>
      </c>
      <c r="E21" s="8">
        <f t="shared" si="2"/>
        <v>0.4</v>
      </c>
      <c r="G21" s="7" t="s">
        <v>17</v>
      </c>
      <c r="H21" s="2" t="str">
        <f>VLOOKUP(G21,'Base de Dados'!$D$2:$E$1048576,2,)</f>
        <v>Especialista</v>
      </c>
      <c r="I21" s="2">
        <v>13</v>
      </c>
      <c r="J21" s="2">
        <f>VLOOKUP(H21,'Base de Dados'!$A$2:$B$7,2,FALSE)</f>
        <v>30</v>
      </c>
      <c r="K21" s="8">
        <f t="shared" si="3"/>
        <v>0.43333333333333335</v>
      </c>
    </row>
    <row r="22" spans="1:11" x14ac:dyDescent="0.25">
      <c r="A22" s="7" t="s">
        <v>18</v>
      </c>
      <c r="B22" s="2" t="str">
        <f>VLOOKUP(A22,'Base de Dados'!$D$2:$E$1048576,2,)</f>
        <v>Junior</v>
      </c>
      <c r="C22" s="2">
        <v>14</v>
      </c>
      <c r="D22" s="2">
        <f>VLOOKUP(B22,'Base de Dados'!$A$2:$B$7,2,FALSE)</f>
        <v>15</v>
      </c>
      <c r="E22" s="8">
        <f t="shared" si="2"/>
        <v>0.93333333333333335</v>
      </c>
      <c r="G22" s="7" t="s">
        <v>18</v>
      </c>
      <c r="H22" s="2" t="str">
        <f>VLOOKUP(G22,'Base de Dados'!$D$2:$E$1048576,2,)</f>
        <v>Junior</v>
      </c>
      <c r="I22" s="2">
        <v>21</v>
      </c>
      <c r="J22" s="2">
        <f>VLOOKUP(H22,'Base de Dados'!$A$2:$B$7,2,FALSE)</f>
        <v>15</v>
      </c>
      <c r="K22" s="8">
        <f t="shared" si="3"/>
        <v>1.4</v>
      </c>
    </row>
    <row r="23" spans="1:11" x14ac:dyDescent="0.25">
      <c r="A23" s="7" t="s">
        <v>19</v>
      </c>
      <c r="B23" s="2" t="str">
        <f>VLOOKUP(A23,'Base de Dados'!$D$2:$E$1048576,2,)</f>
        <v>Junior</v>
      </c>
      <c r="C23" s="2">
        <v>16</v>
      </c>
      <c r="D23" s="2">
        <f>VLOOKUP(B23,'Base de Dados'!$A$2:$B$7,2,FALSE)</f>
        <v>15</v>
      </c>
      <c r="E23" s="8">
        <f t="shared" si="2"/>
        <v>1.0666666666666667</v>
      </c>
      <c r="G23" s="7" t="s">
        <v>19</v>
      </c>
      <c r="H23" s="2" t="str">
        <f>VLOOKUP(G23,'Base de Dados'!$D$2:$E$1048576,2,)</f>
        <v>Junior</v>
      </c>
      <c r="I23" s="2">
        <v>44</v>
      </c>
      <c r="J23" s="2">
        <f>VLOOKUP(H23,'Base de Dados'!$A$2:$B$7,2,FALSE)</f>
        <v>15</v>
      </c>
      <c r="K23" s="8">
        <f t="shared" si="3"/>
        <v>2.9333333333333331</v>
      </c>
    </row>
    <row r="24" spans="1:11" ht="15.75" thickBot="1" x14ac:dyDescent="0.3">
      <c r="A24" s="9" t="s">
        <v>20</v>
      </c>
      <c r="B24" s="10" t="str">
        <f>VLOOKUP(A24,'Base de Dados'!$D$2:$E$1048576,2,)</f>
        <v>Junior</v>
      </c>
      <c r="C24" s="10">
        <v>18</v>
      </c>
      <c r="D24" s="10">
        <f>VLOOKUP(B24,'Base de Dados'!$A$2:$B$7,2,FALSE)</f>
        <v>15</v>
      </c>
      <c r="E24" s="11">
        <f t="shared" si="2"/>
        <v>1.2</v>
      </c>
      <c r="G24" s="9" t="s">
        <v>20</v>
      </c>
      <c r="H24" s="10" t="str">
        <f>VLOOKUP(G24,'Base de Dados'!$D$2:$E$1048576,2,)</f>
        <v>Junior</v>
      </c>
      <c r="I24" s="10">
        <v>65</v>
      </c>
      <c r="J24" s="10">
        <f>VLOOKUP(H24,'Base de Dados'!$A$2:$B$7,2,FALSE)</f>
        <v>15</v>
      </c>
      <c r="K24" s="11">
        <f t="shared" si="3"/>
        <v>4.333333333333333</v>
      </c>
    </row>
    <row r="25" spans="1:11" ht="15.75" thickBot="1" x14ac:dyDescent="0.3"/>
    <row r="26" spans="1:11" x14ac:dyDescent="0.25">
      <c r="A26" s="18" t="s">
        <v>26</v>
      </c>
      <c r="B26" s="19"/>
      <c r="C26" s="19"/>
      <c r="D26" s="19"/>
      <c r="E26" s="20"/>
    </row>
    <row r="27" spans="1:11" x14ac:dyDescent="0.25">
      <c r="A27" s="5" t="s">
        <v>0</v>
      </c>
      <c r="B27" s="4" t="s">
        <v>4</v>
      </c>
      <c r="C27" s="4" t="s">
        <v>1</v>
      </c>
      <c r="D27" s="4" t="s">
        <v>3</v>
      </c>
      <c r="E27" s="6" t="s">
        <v>9</v>
      </c>
    </row>
    <row r="28" spans="1:11" x14ac:dyDescent="0.25">
      <c r="A28" s="7" t="s">
        <v>8</v>
      </c>
      <c r="B28" s="2" t="str">
        <f>VLOOKUP(A28,'Base de Dados'!$D$2:$E$1048576,2,)</f>
        <v>Pleno</v>
      </c>
      <c r="C28" s="2">
        <v>2</v>
      </c>
      <c r="D28" s="2">
        <f>VLOOKUP(B28,'Base de Dados'!$A$2:$B$7,2,FALSE)</f>
        <v>20</v>
      </c>
      <c r="E28" s="8">
        <f>C28/D28</f>
        <v>0.1</v>
      </c>
    </row>
    <row r="29" spans="1:11" x14ac:dyDescent="0.25">
      <c r="A29" s="7" t="s">
        <v>13</v>
      </c>
      <c r="B29" s="2" t="str">
        <f>VLOOKUP(A29,'Base de Dados'!$D$2:$E$1048576,2,)</f>
        <v>Pleno</v>
      </c>
      <c r="C29" s="2">
        <v>4</v>
      </c>
      <c r="D29" s="2">
        <f>VLOOKUP(B29,'Base de Dados'!$A$2:$B$7,2,FALSE)</f>
        <v>20</v>
      </c>
      <c r="E29" s="8">
        <f t="shared" ref="E29:E36" si="4">C29/D29</f>
        <v>0.2</v>
      </c>
    </row>
    <row r="30" spans="1:11" x14ac:dyDescent="0.25">
      <c r="A30" s="7" t="s">
        <v>14</v>
      </c>
      <c r="B30" s="2" t="str">
        <f>VLOOKUP(A30,'Base de Dados'!$D$2:$E$1048576,2,)</f>
        <v>Pleno</v>
      </c>
      <c r="C30" s="2">
        <v>8</v>
      </c>
      <c r="D30" s="2">
        <f>VLOOKUP(B30,'Base de Dados'!$A$2:$B$7,2,FALSE)</f>
        <v>20</v>
      </c>
      <c r="E30" s="8">
        <f t="shared" si="4"/>
        <v>0.4</v>
      </c>
    </row>
    <row r="31" spans="1:11" x14ac:dyDescent="0.25">
      <c r="A31" s="7" t="s">
        <v>15</v>
      </c>
      <c r="B31" s="2" t="str">
        <f>VLOOKUP(A31,'Base de Dados'!$D$2:$E$1048576,2,)</f>
        <v>Junior</v>
      </c>
      <c r="C31" s="2">
        <v>16</v>
      </c>
      <c r="D31" s="2">
        <f>VLOOKUP(B31,'Base de Dados'!$A$2:$B$7,2,FALSE)</f>
        <v>15</v>
      </c>
      <c r="E31" s="8">
        <f t="shared" si="4"/>
        <v>1.0666666666666667</v>
      </c>
    </row>
    <row r="32" spans="1:11" x14ac:dyDescent="0.25">
      <c r="A32" s="7" t="s">
        <v>16</v>
      </c>
      <c r="B32" s="2" t="str">
        <f>VLOOKUP(A32,'Base de Dados'!$D$2:$E$1048576,2,)</f>
        <v>Junior</v>
      </c>
      <c r="C32" s="2">
        <v>32</v>
      </c>
      <c r="D32" s="2">
        <f>VLOOKUP(B32,'Base de Dados'!$A$2:$B$7,2,FALSE)</f>
        <v>15</v>
      </c>
      <c r="E32" s="8">
        <f t="shared" si="4"/>
        <v>2.1333333333333333</v>
      </c>
    </row>
    <row r="33" spans="1:5" x14ac:dyDescent="0.25">
      <c r="A33" s="7" t="s">
        <v>17</v>
      </c>
      <c r="B33" s="2" t="str">
        <f>VLOOKUP(A33,'Base de Dados'!$D$2:$E$1048576,2,)</f>
        <v>Especialista</v>
      </c>
      <c r="C33" s="2">
        <v>64</v>
      </c>
      <c r="D33" s="2">
        <f>VLOOKUP(B33,'Base de Dados'!$A$2:$B$7,2,FALSE)</f>
        <v>30</v>
      </c>
      <c r="E33" s="8">
        <f t="shared" si="4"/>
        <v>2.1333333333333333</v>
      </c>
    </row>
    <row r="34" spans="1:5" x14ac:dyDescent="0.25">
      <c r="A34" s="7" t="s">
        <v>18</v>
      </c>
      <c r="B34" s="2" t="str">
        <f>VLOOKUP(A34,'Base de Dados'!$D$2:$E$1048576,2,)</f>
        <v>Junior</v>
      </c>
      <c r="C34" s="2">
        <v>128</v>
      </c>
      <c r="D34" s="2">
        <f>VLOOKUP(B34,'Base de Dados'!$A$2:$B$7,2,FALSE)</f>
        <v>15</v>
      </c>
      <c r="E34" s="8">
        <f t="shared" si="4"/>
        <v>8.5333333333333332</v>
      </c>
    </row>
    <row r="35" spans="1:5" x14ac:dyDescent="0.25">
      <c r="A35" s="7" t="s">
        <v>19</v>
      </c>
      <c r="B35" s="2" t="str">
        <f>VLOOKUP(A35,'Base de Dados'!$D$2:$E$1048576,2,)</f>
        <v>Junior</v>
      </c>
      <c r="C35" s="2">
        <v>256</v>
      </c>
      <c r="D35" s="2">
        <f>VLOOKUP(B35,'Base de Dados'!$A$2:$B$7,2,FALSE)</f>
        <v>15</v>
      </c>
      <c r="E35" s="8">
        <f t="shared" si="4"/>
        <v>17.066666666666666</v>
      </c>
    </row>
    <row r="36" spans="1:5" ht="15.75" thickBot="1" x14ac:dyDescent="0.3">
      <c r="A36" s="9" t="s">
        <v>20</v>
      </c>
      <c r="B36" s="10" t="str">
        <f>VLOOKUP(A36,'Base de Dados'!$D$2:$E$1048576,2,)</f>
        <v>Junior</v>
      </c>
      <c r="C36" s="10">
        <v>512</v>
      </c>
      <c r="D36" s="10">
        <f>VLOOKUP(B36,'Base de Dados'!$A$2:$B$7,2,FALSE)</f>
        <v>15</v>
      </c>
      <c r="E36" s="11">
        <f t="shared" si="4"/>
        <v>34.133333333333333</v>
      </c>
    </row>
  </sheetData>
  <mergeCells count="6">
    <mergeCell ref="A26:E26"/>
    <mergeCell ref="A1:K1"/>
    <mergeCell ref="A2:E2"/>
    <mergeCell ref="G2:K2"/>
    <mergeCell ref="A14:E14"/>
    <mergeCell ref="G14:K14"/>
  </mergeCells>
  <conditionalFormatting sqref="E16:E24">
    <cfRule type="dataBar" priority="5">
      <dataBar>
        <cfvo type="percent" val="0"/>
        <cfvo type="percent" val="100"/>
        <color theme="8" tint="-0.249977111117893"/>
      </dataBar>
      <extLst>
        <ext xmlns:x14="http://schemas.microsoft.com/office/spreadsheetml/2009/9/main" uri="{B025F937-C7B1-47D3-B67F-A62EFF666E3E}">
          <x14:id>{1BD6DB93-3861-414B-9389-24D99E7DD45E}</x14:id>
        </ext>
      </extLst>
    </cfRule>
  </conditionalFormatting>
  <conditionalFormatting sqref="E4:E12">
    <cfRule type="dataBar" priority="4">
      <dataBar>
        <cfvo type="percent" val="0"/>
        <cfvo type="percent" val="100"/>
        <color theme="8" tint="-0.249977111117893"/>
      </dataBar>
      <extLst>
        <ext xmlns:x14="http://schemas.microsoft.com/office/spreadsheetml/2009/9/main" uri="{B025F937-C7B1-47D3-B67F-A62EFF666E3E}">
          <x14:id>{7012DA83-9DEA-4D28-940F-E7336C93E6FB}</x14:id>
        </ext>
      </extLst>
    </cfRule>
  </conditionalFormatting>
  <conditionalFormatting sqref="K4:K12">
    <cfRule type="dataBar" priority="3">
      <dataBar>
        <cfvo type="percent" val="0"/>
        <cfvo type="percent" val="100"/>
        <color theme="8" tint="-0.249977111117893"/>
      </dataBar>
      <extLst>
        <ext xmlns:x14="http://schemas.microsoft.com/office/spreadsheetml/2009/9/main" uri="{B025F937-C7B1-47D3-B67F-A62EFF666E3E}">
          <x14:id>{A97C39A4-EA52-4D98-B849-F86CBE059C06}</x14:id>
        </ext>
      </extLst>
    </cfRule>
  </conditionalFormatting>
  <conditionalFormatting sqref="K16:K24">
    <cfRule type="dataBar" priority="2">
      <dataBar>
        <cfvo type="percent" val="0"/>
        <cfvo type="percent" val="100"/>
        <color theme="8" tint="-0.249977111117893"/>
      </dataBar>
      <extLst>
        <ext xmlns:x14="http://schemas.microsoft.com/office/spreadsheetml/2009/9/main" uri="{B025F937-C7B1-47D3-B67F-A62EFF666E3E}">
          <x14:id>{381B9F61-F341-497D-88CE-A8621A7316AE}</x14:id>
        </ext>
      </extLst>
    </cfRule>
  </conditionalFormatting>
  <conditionalFormatting sqref="E28:E36">
    <cfRule type="dataBar" priority="1">
      <dataBar>
        <cfvo type="percent" val="0"/>
        <cfvo type="percent" val="100"/>
        <color theme="8" tint="-0.249977111117893"/>
      </dataBar>
      <extLst>
        <ext xmlns:x14="http://schemas.microsoft.com/office/spreadsheetml/2009/9/main" uri="{B025F937-C7B1-47D3-B67F-A62EFF666E3E}">
          <x14:id>{0F5F02E1-4C73-467B-A92A-28EA7FAB877A}</x14:id>
        </ext>
      </extLst>
    </cfRule>
  </conditionalFormatting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BD6DB93-3861-414B-9389-24D99E7DD45E}">
            <x14:dataBar minLength="0" maxLength="100" direction="leftToRight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E16:E24</xm:sqref>
        </x14:conditionalFormatting>
        <x14:conditionalFormatting xmlns:xm="http://schemas.microsoft.com/office/excel/2006/main">
          <x14:cfRule type="dataBar" id="{7012DA83-9DEA-4D28-940F-E7336C93E6FB}">
            <x14:dataBar minLength="0" maxLength="100" direction="leftToRight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E4:E12</xm:sqref>
        </x14:conditionalFormatting>
        <x14:conditionalFormatting xmlns:xm="http://schemas.microsoft.com/office/excel/2006/main">
          <x14:cfRule type="dataBar" id="{A97C39A4-EA52-4D98-B849-F86CBE059C06}">
            <x14:dataBar minLength="0" maxLength="100" direction="leftToRight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K4:K12</xm:sqref>
        </x14:conditionalFormatting>
        <x14:conditionalFormatting xmlns:xm="http://schemas.microsoft.com/office/excel/2006/main">
          <x14:cfRule type="dataBar" id="{381B9F61-F341-497D-88CE-A8621A7316AE}">
            <x14:dataBar minLength="0" maxLength="100" direction="leftToRight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K16:K24</xm:sqref>
        </x14:conditionalFormatting>
        <x14:conditionalFormatting xmlns:xm="http://schemas.microsoft.com/office/excel/2006/main">
          <x14:cfRule type="dataBar" id="{0F5F02E1-4C73-467B-A92A-28EA7FAB877A}">
            <x14:dataBar minLength="0" maxLength="100" direction="leftToRight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E28:E36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6997376-98FF-401F-82B5-FDF11FC96AAF}">
          <x14:formula1>
            <xm:f>'Base de Dados'!$D$2:$D$1048576</xm:f>
          </x14:formula1>
          <xm:sqref>G4:G12 A4:A13 A16:A24 G16:G24 A28:A36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43AB25-82F6-4F9C-B8CB-7443023478F0}">
  <sheetPr codeName="Planilha9"/>
  <dimension ref="A1:K36"/>
  <sheetViews>
    <sheetView showGridLines="0" workbookViewId="0">
      <selection activeCell="A2" sqref="A2:E2"/>
    </sheetView>
  </sheetViews>
  <sheetFormatPr defaultRowHeight="15" x14ac:dyDescent="0.25"/>
  <cols>
    <col min="1" max="1" width="17.5703125" bestFit="1" customWidth="1"/>
    <col min="2" max="2" width="11.7109375" bestFit="1" customWidth="1"/>
    <col min="3" max="3" width="10.28515625" bestFit="1" customWidth="1"/>
    <col min="4" max="4" width="5.85546875" bestFit="1" customWidth="1"/>
    <col min="5" max="5" width="9.85546875" style="1" bestFit="1" customWidth="1"/>
    <col min="6" max="6" width="2.7109375" customWidth="1"/>
    <col min="7" max="7" width="17.5703125" bestFit="1" customWidth="1"/>
    <col min="8" max="8" width="11.7109375" bestFit="1" customWidth="1"/>
    <col min="9" max="9" width="10.28515625" bestFit="1" customWidth="1"/>
    <col min="10" max="10" width="5.85546875" bestFit="1" customWidth="1"/>
    <col min="11" max="11" width="8.7109375" bestFit="1" customWidth="1"/>
  </cols>
  <sheetData>
    <row r="1" spans="1:11" ht="19.5" thickBot="1" x14ac:dyDescent="0.45">
      <c r="A1" s="21" t="s">
        <v>32</v>
      </c>
      <c r="B1" s="21"/>
      <c r="C1" s="21"/>
      <c r="D1" s="21"/>
      <c r="E1" s="21"/>
      <c r="F1" s="21"/>
      <c r="G1" s="21"/>
      <c r="H1" s="21"/>
      <c r="I1" s="21"/>
      <c r="J1" s="21"/>
      <c r="K1" s="21"/>
    </row>
    <row r="2" spans="1:11" x14ac:dyDescent="0.25">
      <c r="A2" s="18" t="s">
        <v>22</v>
      </c>
      <c r="B2" s="19"/>
      <c r="C2" s="19"/>
      <c r="D2" s="19"/>
      <c r="E2" s="20"/>
      <c r="G2" s="18" t="s">
        <v>23</v>
      </c>
      <c r="H2" s="19"/>
      <c r="I2" s="19"/>
      <c r="J2" s="19"/>
      <c r="K2" s="20"/>
    </row>
    <row r="3" spans="1:11" x14ac:dyDescent="0.25">
      <c r="A3" s="5" t="s">
        <v>0</v>
      </c>
      <c r="B3" s="4" t="s">
        <v>4</v>
      </c>
      <c r="C3" s="4" t="s">
        <v>1</v>
      </c>
      <c r="D3" s="4" t="s">
        <v>3</v>
      </c>
      <c r="E3" s="6" t="s">
        <v>9</v>
      </c>
      <c r="G3" s="5" t="s">
        <v>0</v>
      </c>
      <c r="H3" s="4" t="s">
        <v>4</v>
      </c>
      <c r="I3" s="4" t="s">
        <v>1</v>
      </c>
      <c r="J3" s="4" t="s">
        <v>3</v>
      </c>
      <c r="K3" s="6" t="s">
        <v>9</v>
      </c>
    </row>
    <row r="4" spans="1:11" x14ac:dyDescent="0.25">
      <c r="A4" s="7" t="s">
        <v>8</v>
      </c>
      <c r="B4" s="2" t="str">
        <f>VLOOKUP(A4,'Base de Dados'!$D$2:$E$1048576,2,)</f>
        <v>Pleno</v>
      </c>
      <c r="C4" s="2">
        <v>1</v>
      </c>
      <c r="D4" s="2">
        <f>VLOOKUP(B4,'Base de Dados'!$A$2:$B$7,2,FALSE)</f>
        <v>20</v>
      </c>
      <c r="E4" s="8">
        <f>C4/D4</f>
        <v>0.05</v>
      </c>
      <c r="G4" s="7" t="s">
        <v>8</v>
      </c>
      <c r="H4" s="2" t="str">
        <f>VLOOKUP(G4,'Base de Dados'!$D$2:$E$1048576,2,)</f>
        <v>Pleno</v>
      </c>
      <c r="I4" s="2">
        <v>9</v>
      </c>
      <c r="J4" s="2">
        <f>VLOOKUP(H4,'Base de Dados'!$A$2:$B$7,2,FALSE)</f>
        <v>20</v>
      </c>
      <c r="K4" s="8">
        <f>I4/J4</f>
        <v>0.45</v>
      </c>
    </row>
    <row r="5" spans="1:11" x14ac:dyDescent="0.25">
      <c r="A5" s="7" t="s">
        <v>13</v>
      </c>
      <c r="B5" s="2" t="str">
        <f>VLOOKUP(A5,'Base de Dados'!$D$2:$E$1048576,2,)</f>
        <v>Pleno</v>
      </c>
      <c r="C5" s="2">
        <v>2</v>
      </c>
      <c r="D5" s="2">
        <f>VLOOKUP(B5,'Base de Dados'!$A$2:$B$7,2,FALSE)</f>
        <v>20</v>
      </c>
      <c r="E5" s="8">
        <f t="shared" ref="E5:E12" si="0">C5/D5</f>
        <v>0.1</v>
      </c>
      <c r="G5" s="7" t="s">
        <v>13</v>
      </c>
      <c r="H5" s="2" t="str">
        <f>VLOOKUP(G5,'Base de Dados'!$D$2:$E$1048576,2,)</f>
        <v>Pleno</v>
      </c>
      <c r="I5" s="2">
        <v>8</v>
      </c>
      <c r="J5" s="2">
        <f>VLOOKUP(H5,'Base de Dados'!$A$2:$B$7,2,FALSE)</f>
        <v>20</v>
      </c>
      <c r="K5" s="8">
        <f t="shared" ref="K5:K12" si="1">I5/J5</f>
        <v>0.4</v>
      </c>
    </row>
    <row r="6" spans="1:11" x14ac:dyDescent="0.25">
      <c r="A6" s="7" t="s">
        <v>14</v>
      </c>
      <c r="B6" s="2" t="str">
        <f>VLOOKUP(A6,'Base de Dados'!$D$2:$E$1048576,2,)</f>
        <v>Pleno</v>
      </c>
      <c r="C6" s="2">
        <v>3</v>
      </c>
      <c r="D6" s="2">
        <f>VLOOKUP(B6,'Base de Dados'!$A$2:$B$7,2,FALSE)</f>
        <v>20</v>
      </c>
      <c r="E6" s="8">
        <f t="shared" si="0"/>
        <v>0.15</v>
      </c>
      <c r="G6" s="7" t="s">
        <v>14</v>
      </c>
      <c r="H6" s="2" t="str">
        <f>VLOOKUP(G6,'Base de Dados'!$D$2:$E$1048576,2,)</f>
        <v>Pleno</v>
      </c>
      <c r="I6" s="2">
        <v>7</v>
      </c>
      <c r="J6" s="2">
        <f>VLOOKUP(H6,'Base de Dados'!$A$2:$B$7,2,FALSE)</f>
        <v>20</v>
      </c>
      <c r="K6" s="8">
        <f t="shared" si="1"/>
        <v>0.35</v>
      </c>
    </row>
    <row r="7" spans="1:11" x14ac:dyDescent="0.25">
      <c r="A7" s="7" t="s">
        <v>15</v>
      </c>
      <c r="B7" s="2" t="str">
        <f>VLOOKUP(A7,'Base de Dados'!$D$2:$E$1048576,2,)</f>
        <v>Junior</v>
      </c>
      <c r="C7" s="2">
        <v>4</v>
      </c>
      <c r="D7" s="2">
        <f>VLOOKUP(B7,'Base de Dados'!$A$2:$B$7,2,FALSE)</f>
        <v>15</v>
      </c>
      <c r="E7" s="8">
        <f t="shared" si="0"/>
        <v>0.26666666666666666</v>
      </c>
      <c r="G7" s="7" t="s">
        <v>15</v>
      </c>
      <c r="H7" s="2" t="str">
        <f>VLOOKUP(G7,'Base de Dados'!$D$2:$E$1048576,2,)</f>
        <v>Junior</v>
      </c>
      <c r="I7" s="2">
        <v>6</v>
      </c>
      <c r="J7" s="2">
        <f>VLOOKUP(H7,'Base de Dados'!$A$2:$B$7,2,FALSE)</f>
        <v>15</v>
      </c>
      <c r="K7" s="8">
        <f t="shared" si="1"/>
        <v>0.4</v>
      </c>
    </row>
    <row r="8" spans="1:11" x14ac:dyDescent="0.25">
      <c r="A8" s="7" t="s">
        <v>16</v>
      </c>
      <c r="B8" s="2" t="str">
        <f>VLOOKUP(A8,'Base de Dados'!$D$2:$E$1048576,2,)</f>
        <v>Junior</v>
      </c>
      <c r="C8" s="2">
        <v>5</v>
      </c>
      <c r="D8" s="2">
        <f>VLOOKUP(B8,'Base de Dados'!$A$2:$B$7,2,FALSE)</f>
        <v>15</v>
      </c>
      <c r="E8" s="8">
        <f t="shared" si="0"/>
        <v>0.33333333333333331</v>
      </c>
      <c r="G8" s="7" t="s">
        <v>16</v>
      </c>
      <c r="H8" s="2" t="str">
        <f>VLOOKUP(G8,'Base de Dados'!$D$2:$E$1048576,2,)</f>
        <v>Junior</v>
      </c>
      <c r="I8" s="2">
        <v>5</v>
      </c>
      <c r="J8" s="2">
        <f>VLOOKUP(H8,'Base de Dados'!$A$2:$B$7,2,FALSE)</f>
        <v>15</v>
      </c>
      <c r="K8" s="8">
        <f t="shared" si="1"/>
        <v>0.33333333333333331</v>
      </c>
    </row>
    <row r="9" spans="1:11" x14ac:dyDescent="0.25">
      <c r="A9" s="7" t="s">
        <v>17</v>
      </c>
      <c r="B9" s="2" t="str">
        <f>VLOOKUP(A9,'Base de Dados'!$D$2:$E$1048576,2,)</f>
        <v>Especialista</v>
      </c>
      <c r="C9" s="2">
        <v>6</v>
      </c>
      <c r="D9" s="2">
        <f>VLOOKUP(B9,'Base de Dados'!$A$2:$B$7,2,FALSE)</f>
        <v>30</v>
      </c>
      <c r="E9" s="8">
        <f t="shared" si="0"/>
        <v>0.2</v>
      </c>
      <c r="G9" s="7" t="s">
        <v>17</v>
      </c>
      <c r="H9" s="2" t="str">
        <f>VLOOKUP(G9,'Base de Dados'!$D$2:$E$1048576,2,)</f>
        <v>Especialista</v>
      </c>
      <c r="I9" s="2">
        <v>4</v>
      </c>
      <c r="J9" s="2">
        <f>VLOOKUP(H9,'Base de Dados'!$A$2:$B$7,2,FALSE)</f>
        <v>30</v>
      </c>
      <c r="K9" s="8">
        <f t="shared" si="1"/>
        <v>0.13333333333333333</v>
      </c>
    </row>
    <row r="10" spans="1:11" x14ac:dyDescent="0.25">
      <c r="A10" s="7" t="s">
        <v>18</v>
      </c>
      <c r="B10" s="2" t="str">
        <f>VLOOKUP(A10,'Base de Dados'!$D$2:$E$1048576,2,)</f>
        <v>Junior</v>
      </c>
      <c r="C10" s="2">
        <v>7</v>
      </c>
      <c r="D10" s="2">
        <f>VLOOKUP(B10,'Base de Dados'!$A$2:$B$7,2,FALSE)</f>
        <v>15</v>
      </c>
      <c r="E10" s="8">
        <f t="shared" si="0"/>
        <v>0.46666666666666667</v>
      </c>
      <c r="G10" s="7" t="s">
        <v>18</v>
      </c>
      <c r="H10" s="2" t="str">
        <f>VLOOKUP(G10,'Base de Dados'!$D$2:$E$1048576,2,)</f>
        <v>Junior</v>
      </c>
      <c r="I10" s="2">
        <v>3</v>
      </c>
      <c r="J10" s="2">
        <f>VLOOKUP(H10,'Base de Dados'!$A$2:$B$7,2,FALSE)</f>
        <v>15</v>
      </c>
      <c r="K10" s="8">
        <f t="shared" si="1"/>
        <v>0.2</v>
      </c>
    </row>
    <row r="11" spans="1:11" x14ac:dyDescent="0.25">
      <c r="A11" s="7" t="s">
        <v>19</v>
      </c>
      <c r="B11" s="2" t="str">
        <f>VLOOKUP(A11,'Base de Dados'!$D$2:$E$1048576,2,)</f>
        <v>Junior</v>
      </c>
      <c r="C11" s="2">
        <v>8</v>
      </c>
      <c r="D11" s="2">
        <f>VLOOKUP(B11,'Base de Dados'!$A$2:$B$7,2,FALSE)</f>
        <v>15</v>
      </c>
      <c r="E11" s="8">
        <f t="shared" si="0"/>
        <v>0.53333333333333333</v>
      </c>
      <c r="G11" s="7" t="s">
        <v>19</v>
      </c>
      <c r="H11" s="2" t="str">
        <f>VLOOKUP(G11,'Base de Dados'!$D$2:$E$1048576,2,)</f>
        <v>Junior</v>
      </c>
      <c r="I11" s="2">
        <v>2</v>
      </c>
      <c r="J11" s="2">
        <f>VLOOKUP(H11,'Base de Dados'!$A$2:$B$7,2,FALSE)</f>
        <v>15</v>
      </c>
      <c r="K11" s="8">
        <f t="shared" si="1"/>
        <v>0.13333333333333333</v>
      </c>
    </row>
    <row r="12" spans="1:11" ht="15.75" thickBot="1" x14ac:dyDescent="0.3">
      <c r="A12" s="9" t="s">
        <v>20</v>
      </c>
      <c r="B12" s="10" t="str">
        <f>VLOOKUP(A12,'Base de Dados'!$D$2:$E$1048576,2,)</f>
        <v>Junior</v>
      </c>
      <c r="C12" s="10">
        <v>9</v>
      </c>
      <c r="D12" s="10">
        <f>VLOOKUP(B12,'Base de Dados'!$A$2:$B$7,2,FALSE)</f>
        <v>15</v>
      </c>
      <c r="E12" s="11">
        <f t="shared" si="0"/>
        <v>0.6</v>
      </c>
      <c r="G12" s="9" t="s">
        <v>20</v>
      </c>
      <c r="H12" s="10" t="str">
        <f>VLOOKUP(G12,'Base de Dados'!$D$2:$E$1048576,2,)</f>
        <v>Junior</v>
      </c>
      <c r="I12" s="10">
        <v>1</v>
      </c>
      <c r="J12" s="10">
        <f>VLOOKUP(H12,'Base de Dados'!$A$2:$B$7,2,FALSE)</f>
        <v>15</v>
      </c>
      <c r="K12" s="11">
        <f t="shared" si="1"/>
        <v>6.6666666666666666E-2</v>
      </c>
    </row>
    <row r="13" spans="1:11" ht="15.75" thickBot="1" x14ac:dyDescent="0.3"/>
    <row r="14" spans="1:11" x14ac:dyDescent="0.25">
      <c r="A14" s="18" t="s">
        <v>24</v>
      </c>
      <c r="B14" s="19"/>
      <c r="C14" s="19"/>
      <c r="D14" s="19"/>
      <c r="E14" s="20"/>
      <c r="G14" s="18" t="s">
        <v>25</v>
      </c>
      <c r="H14" s="19"/>
      <c r="I14" s="19"/>
      <c r="J14" s="19"/>
      <c r="K14" s="20"/>
    </row>
    <row r="15" spans="1:11" x14ac:dyDescent="0.25">
      <c r="A15" s="5" t="s">
        <v>0</v>
      </c>
      <c r="B15" s="4" t="s">
        <v>4</v>
      </c>
      <c r="C15" s="4" t="s">
        <v>1</v>
      </c>
      <c r="D15" s="4" t="s">
        <v>3</v>
      </c>
      <c r="E15" s="6" t="s">
        <v>9</v>
      </c>
      <c r="G15" s="5" t="s">
        <v>0</v>
      </c>
      <c r="H15" s="4" t="s">
        <v>4</v>
      </c>
      <c r="I15" s="4" t="s">
        <v>1</v>
      </c>
      <c r="J15" s="4" t="s">
        <v>3</v>
      </c>
      <c r="K15" s="6" t="s">
        <v>9</v>
      </c>
    </row>
    <row r="16" spans="1:11" x14ac:dyDescent="0.25">
      <c r="A16" s="7" t="s">
        <v>8</v>
      </c>
      <c r="B16" s="2" t="str">
        <f>VLOOKUP(A16,'Base de Dados'!$D$2:$E$1048576,2,)</f>
        <v>Pleno</v>
      </c>
      <c r="C16" s="2">
        <v>2</v>
      </c>
      <c r="D16" s="2">
        <f>VLOOKUP(B16,'Base de Dados'!$A$2:$B$7,2,FALSE)</f>
        <v>20</v>
      </c>
      <c r="E16" s="8">
        <f>C16/D16</f>
        <v>0.1</v>
      </c>
      <c r="G16" s="7" t="s">
        <v>8</v>
      </c>
      <c r="H16" s="2" t="str">
        <f>VLOOKUP(G16,'Base de Dados'!$D$2:$E$1048576,2,)</f>
        <v>Pleno</v>
      </c>
      <c r="I16" s="2">
        <v>1</v>
      </c>
      <c r="J16" s="2">
        <f>VLOOKUP(H16,'Base de Dados'!$A$2:$B$7,2,FALSE)</f>
        <v>20</v>
      </c>
      <c r="K16" s="8">
        <f>I16/J16</f>
        <v>0.05</v>
      </c>
    </row>
    <row r="17" spans="1:11" x14ac:dyDescent="0.25">
      <c r="A17" s="7" t="s">
        <v>13</v>
      </c>
      <c r="B17" s="2" t="str">
        <f>VLOOKUP(A17,'Base de Dados'!$D$2:$E$1048576,2,)</f>
        <v>Pleno</v>
      </c>
      <c r="C17" s="2">
        <v>4</v>
      </c>
      <c r="D17" s="2">
        <f>VLOOKUP(B17,'Base de Dados'!$A$2:$B$7,2,FALSE)</f>
        <v>20</v>
      </c>
      <c r="E17" s="8">
        <f t="shared" ref="E17:E24" si="2">C17/D17</f>
        <v>0.2</v>
      </c>
      <c r="G17" s="7" t="s">
        <v>13</v>
      </c>
      <c r="H17" s="2" t="str">
        <f>VLOOKUP(G17,'Base de Dados'!$D$2:$E$1048576,2,)</f>
        <v>Pleno</v>
      </c>
      <c r="I17" s="2">
        <v>2</v>
      </c>
      <c r="J17" s="2">
        <f>VLOOKUP(H17,'Base de Dados'!$A$2:$B$7,2,FALSE)</f>
        <v>20</v>
      </c>
      <c r="K17" s="8">
        <f t="shared" ref="K17:K24" si="3">I17/J17</f>
        <v>0.1</v>
      </c>
    </row>
    <row r="18" spans="1:11" x14ac:dyDescent="0.25">
      <c r="A18" s="7" t="s">
        <v>14</v>
      </c>
      <c r="B18" s="2" t="str">
        <f>VLOOKUP(A18,'Base de Dados'!$D$2:$E$1048576,2,)</f>
        <v>Pleno</v>
      </c>
      <c r="C18" s="2">
        <v>6</v>
      </c>
      <c r="D18" s="2">
        <f>VLOOKUP(B18,'Base de Dados'!$A$2:$B$7,2,FALSE)</f>
        <v>20</v>
      </c>
      <c r="E18" s="8">
        <f t="shared" si="2"/>
        <v>0.3</v>
      </c>
      <c r="G18" s="7" t="s">
        <v>14</v>
      </c>
      <c r="H18" s="2" t="str">
        <f>VLOOKUP(G18,'Base de Dados'!$D$2:$E$1048576,2,)</f>
        <v>Pleno</v>
      </c>
      <c r="I18" s="2">
        <v>3</v>
      </c>
      <c r="J18" s="2">
        <f>VLOOKUP(H18,'Base de Dados'!$A$2:$B$7,2,FALSE)</f>
        <v>20</v>
      </c>
      <c r="K18" s="8">
        <f t="shared" si="3"/>
        <v>0.15</v>
      </c>
    </row>
    <row r="19" spans="1:11" x14ac:dyDescent="0.25">
      <c r="A19" s="7" t="s">
        <v>15</v>
      </c>
      <c r="B19" s="2" t="str">
        <f>VLOOKUP(A19,'Base de Dados'!$D$2:$E$1048576,2,)</f>
        <v>Junior</v>
      </c>
      <c r="C19" s="2">
        <v>8</v>
      </c>
      <c r="D19" s="2">
        <f>VLOOKUP(B19,'Base de Dados'!$A$2:$B$7,2,FALSE)</f>
        <v>15</v>
      </c>
      <c r="E19" s="8">
        <f t="shared" si="2"/>
        <v>0.53333333333333333</v>
      </c>
      <c r="G19" s="7" t="s">
        <v>15</v>
      </c>
      <c r="H19" s="2" t="str">
        <f>VLOOKUP(G19,'Base de Dados'!$D$2:$E$1048576,2,)</f>
        <v>Junior</v>
      </c>
      <c r="I19" s="2">
        <v>5</v>
      </c>
      <c r="J19" s="2">
        <f>VLOOKUP(H19,'Base de Dados'!$A$2:$B$7,2,FALSE)</f>
        <v>15</v>
      </c>
      <c r="K19" s="8">
        <f t="shared" si="3"/>
        <v>0.33333333333333331</v>
      </c>
    </row>
    <row r="20" spans="1:11" x14ac:dyDescent="0.25">
      <c r="A20" s="7" t="s">
        <v>16</v>
      </c>
      <c r="B20" s="2" t="str">
        <f>VLOOKUP(A20,'Base de Dados'!$D$2:$E$1048576,2,)</f>
        <v>Junior</v>
      </c>
      <c r="C20" s="2">
        <v>10</v>
      </c>
      <c r="D20" s="2">
        <f>VLOOKUP(B20,'Base de Dados'!$A$2:$B$7,2,FALSE)</f>
        <v>15</v>
      </c>
      <c r="E20" s="8">
        <f t="shared" si="2"/>
        <v>0.66666666666666663</v>
      </c>
      <c r="G20" s="7" t="s">
        <v>16</v>
      </c>
      <c r="H20" s="2" t="str">
        <f>VLOOKUP(G20,'Base de Dados'!$D$2:$E$1048576,2,)</f>
        <v>Junior</v>
      </c>
      <c r="I20" s="2">
        <v>8</v>
      </c>
      <c r="J20" s="2">
        <f>VLOOKUP(H20,'Base de Dados'!$A$2:$B$7,2,FALSE)</f>
        <v>15</v>
      </c>
      <c r="K20" s="8">
        <f t="shared" si="3"/>
        <v>0.53333333333333333</v>
      </c>
    </row>
    <row r="21" spans="1:11" x14ac:dyDescent="0.25">
      <c r="A21" s="7" t="s">
        <v>17</v>
      </c>
      <c r="B21" s="2" t="str">
        <f>VLOOKUP(A21,'Base de Dados'!$D$2:$E$1048576,2,)</f>
        <v>Especialista</v>
      </c>
      <c r="C21" s="2">
        <v>12</v>
      </c>
      <c r="D21" s="2">
        <f>VLOOKUP(B21,'Base de Dados'!$A$2:$B$7,2,FALSE)</f>
        <v>30</v>
      </c>
      <c r="E21" s="8">
        <f t="shared" si="2"/>
        <v>0.4</v>
      </c>
      <c r="G21" s="7" t="s">
        <v>17</v>
      </c>
      <c r="H21" s="2" t="str">
        <f>VLOOKUP(G21,'Base de Dados'!$D$2:$E$1048576,2,)</f>
        <v>Especialista</v>
      </c>
      <c r="I21" s="2">
        <v>13</v>
      </c>
      <c r="J21" s="2">
        <f>VLOOKUP(H21,'Base de Dados'!$A$2:$B$7,2,FALSE)</f>
        <v>30</v>
      </c>
      <c r="K21" s="8">
        <f t="shared" si="3"/>
        <v>0.43333333333333335</v>
      </c>
    </row>
    <row r="22" spans="1:11" x14ac:dyDescent="0.25">
      <c r="A22" s="7" t="s">
        <v>18</v>
      </c>
      <c r="B22" s="2" t="str">
        <f>VLOOKUP(A22,'Base de Dados'!$D$2:$E$1048576,2,)</f>
        <v>Junior</v>
      </c>
      <c r="C22" s="2">
        <v>14</v>
      </c>
      <c r="D22" s="2">
        <f>VLOOKUP(B22,'Base de Dados'!$A$2:$B$7,2,FALSE)</f>
        <v>15</v>
      </c>
      <c r="E22" s="8">
        <f t="shared" si="2"/>
        <v>0.93333333333333335</v>
      </c>
      <c r="G22" s="7" t="s">
        <v>18</v>
      </c>
      <c r="H22" s="2" t="str">
        <f>VLOOKUP(G22,'Base de Dados'!$D$2:$E$1048576,2,)</f>
        <v>Junior</v>
      </c>
      <c r="I22" s="2">
        <v>21</v>
      </c>
      <c r="J22" s="2">
        <f>VLOOKUP(H22,'Base de Dados'!$A$2:$B$7,2,FALSE)</f>
        <v>15</v>
      </c>
      <c r="K22" s="8">
        <f t="shared" si="3"/>
        <v>1.4</v>
      </c>
    </row>
    <row r="23" spans="1:11" x14ac:dyDescent="0.25">
      <c r="A23" s="7" t="s">
        <v>19</v>
      </c>
      <c r="B23" s="2" t="str">
        <f>VLOOKUP(A23,'Base de Dados'!$D$2:$E$1048576,2,)</f>
        <v>Junior</v>
      </c>
      <c r="C23" s="2">
        <v>16</v>
      </c>
      <c r="D23" s="2">
        <f>VLOOKUP(B23,'Base de Dados'!$A$2:$B$7,2,FALSE)</f>
        <v>15</v>
      </c>
      <c r="E23" s="8">
        <f t="shared" si="2"/>
        <v>1.0666666666666667</v>
      </c>
      <c r="G23" s="7" t="s">
        <v>19</v>
      </c>
      <c r="H23" s="2" t="str">
        <f>VLOOKUP(G23,'Base de Dados'!$D$2:$E$1048576,2,)</f>
        <v>Junior</v>
      </c>
      <c r="I23" s="2">
        <v>44</v>
      </c>
      <c r="J23" s="2">
        <f>VLOOKUP(H23,'Base de Dados'!$A$2:$B$7,2,FALSE)</f>
        <v>15</v>
      </c>
      <c r="K23" s="8">
        <f t="shared" si="3"/>
        <v>2.9333333333333331</v>
      </c>
    </row>
    <row r="24" spans="1:11" ht="15.75" thickBot="1" x14ac:dyDescent="0.3">
      <c r="A24" s="9" t="s">
        <v>20</v>
      </c>
      <c r="B24" s="10" t="str">
        <f>VLOOKUP(A24,'Base de Dados'!$D$2:$E$1048576,2,)</f>
        <v>Junior</v>
      </c>
      <c r="C24" s="10">
        <v>18</v>
      </c>
      <c r="D24" s="10">
        <f>VLOOKUP(B24,'Base de Dados'!$A$2:$B$7,2,FALSE)</f>
        <v>15</v>
      </c>
      <c r="E24" s="11">
        <f t="shared" si="2"/>
        <v>1.2</v>
      </c>
      <c r="G24" s="9" t="s">
        <v>20</v>
      </c>
      <c r="H24" s="10" t="str">
        <f>VLOOKUP(G24,'Base de Dados'!$D$2:$E$1048576,2,)</f>
        <v>Junior</v>
      </c>
      <c r="I24" s="10">
        <v>65</v>
      </c>
      <c r="J24" s="10">
        <f>VLOOKUP(H24,'Base de Dados'!$A$2:$B$7,2,FALSE)</f>
        <v>15</v>
      </c>
      <c r="K24" s="11">
        <f t="shared" si="3"/>
        <v>4.333333333333333</v>
      </c>
    </row>
    <row r="25" spans="1:11" ht="15.75" thickBot="1" x14ac:dyDescent="0.3"/>
    <row r="26" spans="1:11" x14ac:dyDescent="0.25">
      <c r="A26" s="18" t="s">
        <v>26</v>
      </c>
      <c r="B26" s="19"/>
      <c r="C26" s="19"/>
      <c r="D26" s="19"/>
      <c r="E26" s="20"/>
    </row>
    <row r="27" spans="1:11" x14ac:dyDescent="0.25">
      <c r="A27" s="5" t="s">
        <v>0</v>
      </c>
      <c r="B27" s="4" t="s">
        <v>4</v>
      </c>
      <c r="C27" s="4" t="s">
        <v>1</v>
      </c>
      <c r="D27" s="4" t="s">
        <v>3</v>
      </c>
      <c r="E27" s="6" t="s">
        <v>9</v>
      </c>
    </row>
    <row r="28" spans="1:11" x14ac:dyDescent="0.25">
      <c r="A28" s="7" t="s">
        <v>8</v>
      </c>
      <c r="B28" s="2" t="str">
        <f>VLOOKUP(A28,'Base de Dados'!$D$2:$E$1048576,2,)</f>
        <v>Pleno</v>
      </c>
      <c r="C28" s="2">
        <v>2</v>
      </c>
      <c r="D28" s="2">
        <f>VLOOKUP(B28,'Base de Dados'!$A$2:$B$7,2,FALSE)</f>
        <v>20</v>
      </c>
      <c r="E28" s="8">
        <f>C28/D28</f>
        <v>0.1</v>
      </c>
    </row>
    <row r="29" spans="1:11" x14ac:dyDescent="0.25">
      <c r="A29" s="7" t="s">
        <v>13</v>
      </c>
      <c r="B29" s="2" t="str">
        <f>VLOOKUP(A29,'Base de Dados'!$D$2:$E$1048576,2,)</f>
        <v>Pleno</v>
      </c>
      <c r="C29" s="2">
        <v>4</v>
      </c>
      <c r="D29" s="2">
        <f>VLOOKUP(B29,'Base de Dados'!$A$2:$B$7,2,FALSE)</f>
        <v>20</v>
      </c>
      <c r="E29" s="8">
        <f t="shared" ref="E29:E36" si="4">C29/D29</f>
        <v>0.2</v>
      </c>
    </row>
    <row r="30" spans="1:11" x14ac:dyDescent="0.25">
      <c r="A30" s="7" t="s">
        <v>14</v>
      </c>
      <c r="B30" s="2" t="str">
        <f>VLOOKUP(A30,'Base de Dados'!$D$2:$E$1048576,2,)</f>
        <v>Pleno</v>
      </c>
      <c r="C30" s="2">
        <v>8</v>
      </c>
      <c r="D30" s="2">
        <f>VLOOKUP(B30,'Base de Dados'!$A$2:$B$7,2,FALSE)</f>
        <v>20</v>
      </c>
      <c r="E30" s="8">
        <f t="shared" si="4"/>
        <v>0.4</v>
      </c>
    </row>
    <row r="31" spans="1:11" x14ac:dyDescent="0.25">
      <c r="A31" s="7" t="s">
        <v>15</v>
      </c>
      <c r="B31" s="2" t="str">
        <f>VLOOKUP(A31,'Base de Dados'!$D$2:$E$1048576,2,)</f>
        <v>Junior</v>
      </c>
      <c r="C31" s="2">
        <v>16</v>
      </c>
      <c r="D31" s="2">
        <f>VLOOKUP(B31,'Base de Dados'!$A$2:$B$7,2,FALSE)</f>
        <v>15</v>
      </c>
      <c r="E31" s="8">
        <f t="shared" si="4"/>
        <v>1.0666666666666667</v>
      </c>
    </row>
    <row r="32" spans="1:11" x14ac:dyDescent="0.25">
      <c r="A32" s="7" t="s">
        <v>16</v>
      </c>
      <c r="B32" s="2" t="str">
        <f>VLOOKUP(A32,'Base de Dados'!$D$2:$E$1048576,2,)</f>
        <v>Junior</v>
      </c>
      <c r="C32" s="2">
        <v>32</v>
      </c>
      <c r="D32" s="2">
        <f>VLOOKUP(B32,'Base de Dados'!$A$2:$B$7,2,FALSE)</f>
        <v>15</v>
      </c>
      <c r="E32" s="8">
        <f t="shared" si="4"/>
        <v>2.1333333333333333</v>
      </c>
    </row>
    <row r="33" spans="1:5" x14ac:dyDescent="0.25">
      <c r="A33" s="7" t="s">
        <v>17</v>
      </c>
      <c r="B33" s="2" t="str">
        <f>VLOOKUP(A33,'Base de Dados'!$D$2:$E$1048576,2,)</f>
        <v>Especialista</v>
      </c>
      <c r="C33" s="2">
        <v>64</v>
      </c>
      <c r="D33" s="2">
        <f>VLOOKUP(B33,'Base de Dados'!$A$2:$B$7,2,FALSE)</f>
        <v>30</v>
      </c>
      <c r="E33" s="8">
        <f t="shared" si="4"/>
        <v>2.1333333333333333</v>
      </c>
    </row>
    <row r="34" spans="1:5" x14ac:dyDescent="0.25">
      <c r="A34" s="7" t="s">
        <v>18</v>
      </c>
      <c r="B34" s="2" t="str">
        <f>VLOOKUP(A34,'Base de Dados'!$D$2:$E$1048576,2,)</f>
        <v>Junior</v>
      </c>
      <c r="C34" s="2">
        <v>128</v>
      </c>
      <c r="D34" s="2">
        <f>VLOOKUP(B34,'Base de Dados'!$A$2:$B$7,2,FALSE)</f>
        <v>15</v>
      </c>
      <c r="E34" s="8">
        <f t="shared" si="4"/>
        <v>8.5333333333333332</v>
      </c>
    </row>
    <row r="35" spans="1:5" x14ac:dyDescent="0.25">
      <c r="A35" s="7" t="s">
        <v>19</v>
      </c>
      <c r="B35" s="2" t="str">
        <f>VLOOKUP(A35,'Base de Dados'!$D$2:$E$1048576,2,)</f>
        <v>Junior</v>
      </c>
      <c r="C35" s="2">
        <v>256</v>
      </c>
      <c r="D35" s="2">
        <f>VLOOKUP(B35,'Base de Dados'!$A$2:$B$7,2,FALSE)</f>
        <v>15</v>
      </c>
      <c r="E35" s="8">
        <f t="shared" si="4"/>
        <v>17.066666666666666</v>
      </c>
    </row>
    <row r="36" spans="1:5" ht="15.75" thickBot="1" x14ac:dyDescent="0.3">
      <c r="A36" s="9" t="s">
        <v>20</v>
      </c>
      <c r="B36" s="10" t="str">
        <f>VLOOKUP(A36,'Base de Dados'!$D$2:$E$1048576,2,)</f>
        <v>Junior</v>
      </c>
      <c r="C36" s="10">
        <v>512</v>
      </c>
      <c r="D36" s="10">
        <f>VLOOKUP(B36,'Base de Dados'!$A$2:$B$7,2,FALSE)</f>
        <v>15</v>
      </c>
      <c r="E36" s="11">
        <f t="shared" si="4"/>
        <v>34.133333333333333</v>
      </c>
    </row>
  </sheetData>
  <mergeCells count="6">
    <mergeCell ref="A26:E26"/>
    <mergeCell ref="A1:K1"/>
    <mergeCell ref="A2:E2"/>
    <mergeCell ref="G2:K2"/>
    <mergeCell ref="A14:E14"/>
    <mergeCell ref="G14:K14"/>
  </mergeCells>
  <conditionalFormatting sqref="E16:E24">
    <cfRule type="dataBar" priority="5">
      <dataBar>
        <cfvo type="percent" val="0"/>
        <cfvo type="percent" val="100"/>
        <color theme="8" tint="-0.249977111117893"/>
      </dataBar>
      <extLst>
        <ext xmlns:x14="http://schemas.microsoft.com/office/spreadsheetml/2009/9/main" uri="{B025F937-C7B1-47D3-B67F-A62EFF666E3E}">
          <x14:id>{1E5EC94C-C493-4292-A56E-496EE5872544}</x14:id>
        </ext>
      </extLst>
    </cfRule>
  </conditionalFormatting>
  <conditionalFormatting sqref="E4:E12">
    <cfRule type="dataBar" priority="4">
      <dataBar>
        <cfvo type="percent" val="0"/>
        <cfvo type="percent" val="100"/>
        <color theme="8" tint="-0.249977111117893"/>
      </dataBar>
      <extLst>
        <ext xmlns:x14="http://schemas.microsoft.com/office/spreadsheetml/2009/9/main" uri="{B025F937-C7B1-47D3-B67F-A62EFF666E3E}">
          <x14:id>{4D17DA20-1FBC-41AA-8C03-3CACC2927403}</x14:id>
        </ext>
      </extLst>
    </cfRule>
  </conditionalFormatting>
  <conditionalFormatting sqref="K4:K12">
    <cfRule type="dataBar" priority="3">
      <dataBar>
        <cfvo type="percent" val="0"/>
        <cfvo type="percent" val="100"/>
        <color theme="8" tint="-0.249977111117893"/>
      </dataBar>
      <extLst>
        <ext xmlns:x14="http://schemas.microsoft.com/office/spreadsheetml/2009/9/main" uri="{B025F937-C7B1-47D3-B67F-A62EFF666E3E}">
          <x14:id>{F54AAED0-E221-449A-AEF3-E54B34F06C6D}</x14:id>
        </ext>
      </extLst>
    </cfRule>
  </conditionalFormatting>
  <conditionalFormatting sqref="K16:K24">
    <cfRule type="dataBar" priority="2">
      <dataBar>
        <cfvo type="percent" val="0"/>
        <cfvo type="percent" val="100"/>
        <color theme="8" tint="-0.249977111117893"/>
      </dataBar>
      <extLst>
        <ext xmlns:x14="http://schemas.microsoft.com/office/spreadsheetml/2009/9/main" uri="{B025F937-C7B1-47D3-B67F-A62EFF666E3E}">
          <x14:id>{67D70E66-FF0C-4774-8048-C14BE9A5DE08}</x14:id>
        </ext>
      </extLst>
    </cfRule>
  </conditionalFormatting>
  <conditionalFormatting sqref="E28:E36">
    <cfRule type="dataBar" priority="1">
      <dataBar>
        <cfvo type="percent" val="0"/>
        <cfvo type="percent" val="100"/>
        <color theme="8" tint="-0.249977111117893"/>
      </dataBar>
      <extLst>
        <ext xmlns:x14="http://schemas.microsoft.com/office/spreadsheetml/2009/9/main" uri="{B025F937-C7B1-47D3-B67F-A62EFF666E3E}">
          <x14:id>{291FB99B-D7D2-431B-A5D6-AB38791387AB}</x14:id>
        </ext>
      </extLst>
    </cfRule>
  </conditionalFormatting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E5EC94C-C493-4292-A56E-496EE5872544}">
            <x14:dataBar minLength="0" maxLength="100" direction="leftToRight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E16:E24</xm:sqref>
        </x14:conditionalFormatting>
        <x14:conditionalFormatting xmlns:xm="http://schemas.microsoft.com/office/excel/2006/main">
          <x14:cfRule type="dataBar" id="{4D17DA20-1FBC-41AA-8C03-3CACC2927403}">
            <x14:dataBar minLength="0" maxLength="100" direction="leftToRight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E4:E12</xm:sqref>
        </x14:conditionalFormatting>
        <x14:conditionalFormatting xmlns:xm="http://schemas.microsoft.com/office/excel/2006/main">
          <x14:cfRule type="dataBar" id="{F54AAED0-E221-449A-AEF3-E54B34F06C6D}">
            <x14:dataBar minLength="0" maxLength="100" direction="leftToRight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K4:K12</xm:sqref>
        </x14:conditionalFormatting>
        <x14:conditionalFormatting xmlns:xm="http://schemas.microsoft.com/office/excel/2006/main">
          <x14:cfRule type="dataBar" id="{67D70E66-FF0C-4774-8048-C14BE9A5DE08}">
            <x14:dataBar minLength="0" maxLength="100" direction="leftToRight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K16:K24</xm:sqref>
        </x14:conditionalFormatting>
        <x14:conditionalFormatting xmlns:xm="http://schemas.microsoft.com/office/excel/2006/main">
          <x14:cfRule type="dataBar" id="{291FB99B-D7D2-431B-A5D6-AB38791387AB}">
            <x14:dataBar minLength="0" maxLength="100" direction="leftToRight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E28:E36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B74A10A-A5D0-438B-96A8-0CEF6F9FFFDC}">
          <x14:formula1>
            <xm:f>'Base de Dados'!$D$2:$D$1048576</xm:f>
          </x14:formula1>
          <xm:sqref>G4:G12 A4:A13 A16:A24 G16:G24 A28:A36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ED6B29-E065-4F33-88F9-55CE60DC5300}">
  <sheetPr codeName="Planilha10"/>
  <dimension ref="A1:K36"/>
  <sheetViews>
    <sheetView showGridLines="0" workbookViewId="0">
      <selection sqref="A1:K1"/>
    </sheetView>
  </sheetViews>
  <sheetFormatPr defaultRowHeight="15" x14ac:dyDescent="0.25"/>
  <cols>
    <col min="1" max="1" width="17.5703125" bestFit="1" customWidth="1"/>
    <col min="2" max="2" width="11.7109375" bestFit="1" customWidth="1"/>
    <col min="3" max="3" width="10.28515625" bestFit="1" customWidth="1"/>
    <col min="4" max="4" width="5.85546875" bestFit="1" customWidth="1"/>
    <col min="5" max="5" width="9.85546875" style="1" bestFit="1" customWidth="1"/>
    <col min="6" max="6" width="2.7109375" customWidth="1"/>
    <col min="7" max="7" width="17.5703125" bestFit="1" customWidth="1"/>
    <col min="8" max="8" width="11.7109375" bestFit="1" customWidth="1"/>
    <col min="9" max="9" width="10.28515625" bestFit="1" customWidth="1"/>
    <col min="10" max="10" width="5.85546875" bestFit="1" customWidth="1"/>
    <col min="11" max="11" width="8.7109375" bestFit="1" customWidth="1"/>
  </cols>
  <sheetData>
    <row r="1" spans="1:11" ht="19.5" thickBot="1" x14ac:dyDescent="0.45">
      <c r="A1" s="21" t="s">
        <v>33</v>
      </c>
      <c r="B1" s="21"/>
      <c r="C1" s="21"/>
      <c r="D1" s="21"/>
      <c r="E1" s="21"/>
      <c r="F1" s="21"/>
      <c r="G1" s="21"/>
      <c r="H1" s="21"/>
      <c r="I1" s="21"/>
      <c r="J1" s="21"/>
      <c r="K1" s="21"/>
    </row>
    <row r="2" spans="1:11" x14ac:dyDescent="0.25">
      <c r="A2" s="18" t="s">
        <v>22</v>
      </c>
      <c r="B2" s="19"/>
      <c r="C2" s="19"/>
      <c r="D2" s="19"/>
      <c r="E2" s="20"/>
      <c r="G2" s="18" t="s">
        <v>23</v>
      </c>
      <c r="H2" s="19"/>
      <c r="I2" s="19"/>
      <c r="J2" s="19"/>
      <c r="K2" s="20"/>
    </row>
    <row r="3" spans="1:11" x14ac:dyDescent="0.25">
      <c r="A3" s="5" t="s">
        <v>0</v>
      </c>
      <c r="B3" s="4" t="s">
        <v>4</v>
      </c>
      <c r="C3" s="4" t="s">
        <v>1</v>
      </c>
      <c r="D3" s="4" t="s">
        <v>3</v>
      </c>
      <c r="E3" s="6" t="s">
        <v>9</v>
      </c>
      <c r="G3" s="5" t="s">
        <v>0</v>
      </c>
      <c r="H3" s="4" t="s">
        <v>4</v>
      </c>
      <c r="I3" s="4" t="s">
        <v>1</v>
      </c>
      <c r="J3" s="4" t="s">
        <v>3</v>
      </c>
      <c r="K3" s="6" t="s">
        <v>9</v>
      </c>
    </row>
    <row r="4" spans="1:11" x14ac:dyDescent="0.25">
      <c r="A4" s="7" t="s">
        <v>8</v>
      </c>
      <c r="B4" s="2" t="str">
        <f>VLOOKUP(A4,'Base de Dados'!$D$2:$E$1048576,2,)</f>
        <v>Pleno</v>
      </c>
      <c r="C4" s="2">
        <v>1</v>
      </c>
      <c r="D4" s="2">
        <f>VLOOKUP(B4,'Base de Dados'!$A$2:$B$7,2,FALSE)</f>
        <v>20</v>
      </c>
      <c r="E4" s="8">
        <f>C4/D4</f>
        <v>0.05</v>
      </c>
      <c r="G4" s="7" t="s">
        <v>8</v>
      </c>
      <c r="H4" s="2" t="str">
        <f>VLOOKUP(G4,'Base de Dados'!$D$2:$E$1048576,2,)</f>
        <v>Pleno</v>
      </c>
      <c r="I4" s="2">
        <v>9</v>
      </c>
      <c r="J4" s="2">
        <f>VLOOKUP(H4,'Base de Dados'!$A$2:$B$7,2,FALSE)</f>
        <v>20</v>
      </c>
      <c r="K4" s="8">
        <f>I4/J4</f>
        <v>0.45</v>
      </c>
    </row>
    <row r="5" spans="1:11" x14ac:dyDescent="0.25">
      <c r="A5" s="7" t="s">
        <v>13</v>
      </c>
      <c r="B5" s="2" t="str">
        <f>VLOOKUP(A5,'Base de Dados'!$D$2:$E$1048576,2,)</f>
        <v>Pleno</v>
      </c>
      <c r="C5" s="2">
        <v>2</v>
      </c>
      <c r="D5" s="2">
        <f>VLOOKUP(B5,'Base de Dados'!$A$2:$B$7,2,FALSE)</f>
        <v>20</v>
      </c>
      <c r="E5" s="8">
        <f t="shared" ref="E5:E12" si="0">C5/D5</f>
        <v>0.1</v>
      </c>
      <c r="G5" s="7" t="s">
        <v>13</v>
      </c>
      <c r="H5" s="2" t="str">
        <f>VLOOKUP(G5,'Base de Dados'!$D$2:$E$1048576,2,)</f>
        <v>Pleno</v>
      </c>
      <c r="I5" s="2">
        <v>8</v>
      </c>
      <c r="J5" s="2">
        <f>VLOOKUP(H5,'Base de Dados'!$A$2:$B$7,2,FALSE)</f>
        <v>20</v>
      </c>
      <c r="K5" s="8">
        <f t="shared" ref="K5:K12" si="1">I5/J5</f>
        <v>0.4</v>
      </c>
    </row>
    <row r="6" spans="1:11" x14ac:dyDescent="0.25">
      <c r="A6" s="7" t="s">
        <v>14</v>
      </c>
      <c r="B6" s="2" t="str">
        <f>VLOOKUP(A6,'Base de Dados'!$D$2:$E$1048576,2,)</f>
        <v>Pleno</v>
      </c>
      <c r="C6" s="2">
        <v>3</v>
      </c>
      <c r="D6" s="2">
        <f>VLOOKUP(B6,'Base de Dados'!$A$2:$B$7,2,FALSE)</f>
        <v>20</v>
      </c>
      <c r="E6" s="8">
        <f t="shared" si="0"/>
        <v>0.15</v>
      </c>
      <c r="G6" s="7" t="s">
        <v>14</v>
      </c>
      <c r="H6" s="2" t="str">
        <f>VLOOKUP(G6,'Base de Dados'!$D$2:$E$1048576,2,)</f>
        <v>Pleno</v>
      </c>
      <c r="I6" s="2">
        <v>7</v>
      </c>
      <c r="J6" s="2">
        <f>VLOOKUP(H6,'Base de Dados'!$A$2:$B$7,2,FALSE)</f>
        <v>20</v>
      </c>
      <c r="K6" s="8">
        <f t="shared" si="1"/>
        <v>0.35</v>
      </c>
    </row>
    <row r="7" spans="1:11" x14ac:dyDescent="0.25">
      <c r="A7" s="7" t="s">
        <v>15</v>
      </c>
      <c r="B7" s="2" t="str">
        <f>VLOOKUP(A7,'Base de Dados'!$D$2:$E$1048576,2,)</f>
        <v>Junior</v>
      </c>
      <c r="C7" s="2">
        <v>4</v>
      </c>
      <c r="D7" s="2">
        <f>VLOOKUP(B7,'Base de Dados'!$A$2:$B$7,2,FALSE)</f>
        <v>15</v>
      </c>
      <c r="E7" s="8">
        <f t="shared" si="0"/>
        <v>0.26666666666666666</v>
      </c>
      <c r="G7" s="7" t="s">
        <v>15</v>
      </c>
      <c r="H7" s="2" t="str">
        <f>VLOOKUP(G7,'Base de Dados'!$D$2:$E$1048576,2,)</f>
        <v>Junior</v>
      </c>
      <c r="I7" s="2">
        <v>6</v>
      </c>
      <c r="J7" s="2">
        <f>VLOOKUP(H7,'Base de Dados'!$A$2:$B$7,2,FALSE)</f>
        <v>15</v>
      </c>
      <c r="K7" s="8">
        <f t="shared" si="1"/>
        <v>0.4</v>
      </c>
    </row>
    <row r="8" spans="1:11" x14ac:dyDescent="0.25">
      <c r="A8" s="7" t="s">
        <v>16</v>
      </c>
      <c r="B8" s="2" t="str">
        <f>VLOOKUP(A8,'Base de Dados'!$D$2:$E$1048576,2,)</f>
        <v>Junior</v>
      </c>
      <c r="C8" s="2">
        <v>5</v>
      </c>
      <c r="D8" s="2">
        <f>VLOOKUP(B8,'Base de Dados'!$A$2:$B$7,2,FALSE)</f>
        <v>15</v>
      </c>
      <c r="E8" s="8">
        <f t="shared" si="0"/>
        <v>0.33333333333333331</v>
      </c>
      <c r="G8" s="7" t="s">
        <v>16</v>
      </c>
      <c r="H8" s="2" t="str">
        <f>VLOOKUP(G8,'Base de Dados'!$D$2:$E$1048576,2,)</f>
        <v>Junior</v>
      </c>
      <c r="I8" s="2">
        <v>5</v>
      </c>
      <c r="J8" s="2">
        <f>VLOOKUP(H8,'Base de Dados'!$A$2:$B$7,2,FALSE)</f>
        <v>15</v>
      </c>
      <c r="K8" s="8">
        <f t="shared" si="1"/>
        <v>0.33333333333333331</v>
      </c>
    </row>
    <row r="9" spans="1:11" x14ac:dyDescent="0.25">
      <c r="A9" s="7" t="s">
        <v>17</v>
      </c>
      <c r="B9" s="2" t="str">
        <f>VLOOKUP(A9,'Base de Dados'!$D$2:$E$1048576,2,)</f>
        <v>Especialista</v>
      </c>
      <c r="C9" s="2">
        <v>6</v>
      </c>
      <c r="D9" s="2">
        <f>VLOOKUP(B9,'Base de Dados'!$A$2:$B$7,2,FALSE)</f>
        <v>30</v>
      </c>
      <c r="E9" s="8">
        <f t="shared" si="0"/>
        <v>0.2</v>
      </c>
      <c r="G9" s="7" t="s">
        <v>17</v>
      </c>
      <c r="H9" s="2" t="str">
        <f>VLOOKUP(G9,'Base de Dados'!$D$2:$E$1048576,2,)</f>
        <v>Especialista</v>
      </c>
      <c r="I9" s="2">
        <v>4</v>
      </c>
      <c r="J9" s="2">
        <f>VLOOKUP(H9,'Base de Dados'!$A$2:$B$7,2,FALSE)</f>
        <v>30</v>
      </c>
      <c r="K9" s="8">
        <f t="shared" si="1"/>
        <v>0.13333333333333333</v>
      </c>
    </row>
    <row r="10" spans="1:11" x14ac:dyDescent="0.25">
      <c r="A10" s="7" t="s">
        <v>18</v>
      </c>
      <c r="B10" s="2" t="str">
        <f>VLOOKUP(A10,'Base de Dados'!$D$2:$E$1048576,2,)</f>
        <v>Junior</v>
      </c>
      <c r="C10" s="2">
        <v>7</v>
      </c>
      <c r="D10" s="2">
        <f>VLOOKUP(B10,'Base de Dados'!$A$2:$B$7,2,FALSE)</f>
        <v>15</v>
      </c>
      <c r="E10" s="8">
        <f t="shared" si="0"/>
        <v>0.46666666666666667</v>
      </c>
      <c r="G10" s="7" t="s">
        <v>18</v>
      </c>
      <c r="H10" s="2" t="str">
        <f>VLOOKUP(G10,'Base de Dados'!$D$2:$E$1048576,2,)</f>
        <v>Junior</v>
      </c>
      <c r="I10" s="2">
        <v>3</v>
      </c>
      <c r="J10" s="2">
        <f>VLOOKUP(H10,'Base de Dados'!$A$2:$B$7,2,FALSE)</f>
        <v>15</v>
      </c>
      <c r="K10" s="8">
        <f t="shared" si="1"/>
        <v>0.2</v>
      </c>
    </row>
    <row r="11" spans="1:11" x14ac:dyDescent="0.25">
      <c r="A11" s="7" t="s">
        <v>19</v>
      </c>
      <c r="B11" s="2" t="str">
        <f>VLOOKUP(A11,'Base de Dados'!$D$2:$E$1048576,2,)</f>
        <v>Junior</v>
      </c>
      <c r="C11" s="2">
        <v>8</v>
      </c>
      <c r="D11" s="2">
        <f>VLOOKUP(B11,'Base de Dados'!$A$2:$B$7,2,FALSE)</f>
        <v>15</v>
      </c>
      <c r="E11" s="8">
        <f t="shared" si="0"/>
        <v>0.53333333333333333</v>
      </c>
      <c r="G11" s="7" t="s">
        <v>19</v>
      </c>
      <c r="H11" s="2" t="str">
        <f>VLOOKUP(G11,'Base de Dados'!$D$2:$E$1048576,2,)</f>
        <v>Junior</v>
      </c>
      <c r="I11" s="2">
        <v>2</v>
      </c>
      <c r="J11" s="2">
        <f>VLOOKUP(H11,'Base de Dados'!$A$2:$B$7,2,FALSE)</f>
        <v>15</v>
      </c>
      <c r="K11" s="8">
        <f t="shared" si="1"/>
        <v>0.13333333333333333</v>
      </c>
    </row>
    <row r="12" spans="1:11" ht="15.75" thickBot="1" x14ac:dyDescent="0.3">
      <c r="A12" s="9" t="s">
        <v>20</v>
      </c>
      <c r="B12" s="10" t="str">
        <f>VLOOKUP(A12,'Base de Dados'!$D$2:$E$1048576,2,)</f>
        <v>Junior</v>
      </c>
      <c r="C12" s="10">
        <v>9</v>
      </c>
      <c r="D12" s="10">
        <f>VLOOKUP(B12,'Base de Dados'!$A$2:$B$7,2,FALSE)</f>
        <v>15</v>
      </c>
      <c r="E12" s="11">
        <f t="shared" si="0"/>
        <v>0.6</v>
      </c>
      <c r="G12" s="9" t="s">
        <v>20</v>
      </c>
      <c r="H12" s="10" t="str">
        <f>VLOOKUP(G12,'Base de Dados'!$D$2:$E$1048576,2,)</f>
        <v>Junior</v>
      </c>
      <c r="I12" s="10">
        <v>1</v>
      </c>
      <c r="J12" s="10">
        <f>VLOOKUP(H12,'Base de Dados'!$A$2:$B$7,2,FALSE)</f>
        <v>15</v>
      </c>
      <c r="K12" s="11">
        <f t="shared" si="1"/>
        <v>6.6666666666666666E-2</v>
      </c>
    </row>
    <row r="13" spans="1:11" ht="15.75" thickBot="1" x14ac:dyDescent="0.3"/>
    <row r="14" spans="1:11" x14ac:dyDescent="0.25">
      <c r="A14" s="18" t="s">
        <v>24</v>
      </c>
      <c r="B14" s="19"/>
      <c r="C14" s="19"/>
      <c r="D14" s="19"/>
      <c r="E14" s="20"/>
      <c r="G14" s="18" t="s">
        <v>25</v>
      </c>
      <c r="H14" s="19"/>
      <c r="I14" s="19"/>
      <c r="J14" s="19"/>
      <c r="K14" s="20"/>
    </row>
    <row r="15" spans="1:11" x14ac:dyDescent="0.25">
      <c r="A15" s="5" t="s">
        <v>0</v>
      </c>
      <c r="B15" s="4" t="s">
        <v>4</v>
      </c>
      <c r="C15" s="4" t="s">
        <v>1</v>
      </c>
      <c r="D15" s="4" t="s">
        <v>3</v>
      </c>
      <c r="E15" s="6" t="s">
        <v>9</v>
      </c>
      <c r="G15" s="5" t="s">
        <v>0</v>
      </c>
      <c r="H15" s="4" t="s">
        <v>4</v>
      </c>
      <c r="I15" s="4" t="s">
        <v>1</v>
      </c>
      <c r="J15" s="4" t="s">
        <v>3</v>
      </c>
      <c r="K15" s="6" t="s">
        <v>9</v>
      </c>
    </row>
    <row r="16" spans="1:11" x14ac:dyDescent="0.25">
      <c r="A16" s="7" t="s">
        <v>8</v>
      </c>
      <c r="B16" s="2" t="str">
        <f>VLOOKUP(A16,'Base de Dados'!$D$2:$E$1048576,2,)</f>
        <v>Pleno</v>
      </c>
      <c r="C16" s="2">
        <v>2</v>
      </c>
      <c r="D16" s="2">
        <f>VLOOKUP(B16,'Base de Dados'!$A$2:$B$7,2,FALSE)</f>
        <v>20</v>
      </c>
      <c r="E16" s="8">
        <f>C16/D16</f>
        <v>0.1</v>
      </c>
      <c r="G16" s="7" t="s">
        <v>8</v>
      </c>
      <c r="H16" s="2" t="str">
        <f>VLOOKUP(G16,'Base de Dados'!$D$2:$E$1048576,2,)</f>
        <v>Pleno</v>
      </c>
      <c r="I16" s="2">
        <v>1</v>
      </c>
      <c r="J16" s="2">
        <f>VLOOKUP(H16,'Base de Dados'!$A$2:$B$7,2,FALSE)</f>
        <v>20</v>
      </c>
      <c r="K16" s="8">
        <f>I16/J16</f>
        <v>0.05</v>
      </c>
    </row>
    <row r="17" spans="1:11" x14ac:dyDescent="0.25">
      <c r="A17" s="7" t="s">
        <v>13</v>
      </c>
      <c r="B17" s="2" t="str">
        <f>VLOOKUP(A17,'Base de Dados'!$D$2:$E$1048576,2,)</f>
        <v>Pleno</v>
      </c>
      <c r="C17" s="2">
        <v>4</v>
      </c>
      <c r="D17" s="2">
        <f>VLOOKUP(B17,'Base de Dados'!$A$2:$B$7,2,FALSE)</f>
        <v>20</v>
      </c>
      <c r="E17" s="8">
        <f t="shared" ref="E17:E24" si="2">C17/D17</f>
        <v>0.2</v>
      </c>
      <c r="G17" s="7" t="s">
        <v>13</v>
      </c>
      <c r="H17" s="2" t="str">
        <f>VLOOKUP(G17,'Base de Dados'!$D$2:$E$1048576,2,)</f>
        <v>Pleno</v>
      </c>
      <c r="I17" s="2">
        <v>2</v>
      </c>
      <c r="J17" s="2">
        <f>VLOOKUP(H17,'Base de Dados'!$A$2:$B$7,2,FALSE)</f>
        <v>20</v>
      </c>
      <c r="K17" s="8">
        <f t="shared" ref="K17:K24" si="3">I17/J17</f>
        <v>0.1</v>
      </c>
    </row>
    <row r="18" spans="1:11" x14ac:dyDescent="0.25">
      <c r="A18" s="7" t="s">
        <v>14</v>
      </c>
      <c r="B18" s="2" t="str">
        <f>VLOOKUP(A18,'Base de Dados'!$D$2:$E$1048576,2,)</f>
        <v>Pleno</v>
      </c>
      <c r="C18" s="2">
        <v>6</v>
      </c>
      <c r="D18" s="2">
        <f>VLOOKUP(B18,'Base de Dados'!$A$2:$B$7,2,FALSE)</f>
        <v>20</v>
      </c>
      <c r="E18" s="8">
        <f t="shared" si="2"/>
        <v>0.3</v>
      </c>
      <c r="G18" s="7" t="s">
        <v>14</v>
      </c>
      <c r="H18" s="2" t="str">
        <f>VLOOKUP(G18,'Base de Dados'!$D$2:$E$1048576,2,)</f>
        <v>Pleno</v>
      </c>
      <c r="I18" s="2">
        <v>3</v>
      </c>
      <c r="J18" s="2">
        <f>VLOOKUP(H18,'Base de Dados'!$A$2:$B$7,2,FALSE)</f>
        <v>20</v>
      </c>
      <c r="K18" s="8">
        <f t="shared" si="3"/>
        <v>0.15</v>
      </c>
    </row>
    <row r="19" spans="1:11" x14ac:dyDescent="0.25">
      <c r="A19" s="7" t="s">
        <v>15</v>
      </c>
      <c r="B19" s="2" t="str">
        <f>VLOOKUP(A19,'Base de Dados'!$D$2:$E$1048576,2,)</f>
        <v>Junior</v>
      </c>
      <c r="C19" s="2">
        <v>8</v>
      </c>
      <c r="D19" s="2">
        <f>VLOOKUP(B19,'Base de Dados'!$A$2:$B$7,2,FALSE)</f>
        <v>15</v>
      </c>
      <c r="E19" s="8">
        <f t="shared" si="2"/>
        <v>0.53333333333333333</v>
      </c>
      <c r="G19" s="7" t="s">
        <v>15</v>
      </c>
      <c r="H19" s="2" t="str">
        <f>VLOOKUP(G19,'Base de Dados'!$D$2:$E$1048576,2,)</f>
        <v>Junior</v>
      </c>
      <c r="I19" s="2">
        <v>5</v>
      </c>
      <c r="J19" s="2">
        <f>VLOOKUP(H19,'Base de Dados'!$A$2:$B$7,2,FALSE)</f>
        <v>15</v>
      </c>
      <c r="K19" s="8">
        <f t="shared" si="3"/>
        <v>0.33333333333333331</v>
      </c>
    </row>
    <row r="20" spans="1:11" x14ac:dyDescent="0.25">
      <c r="A20" s="7" t="s">
        <v>16</v>
      </c>
      <c r="B20" s="2" t="str">
        <f>VLOOKUP(A20,'Base de Dados'!$D$2:$E$1048576,2,)</f>
        <v>Junior</v>
      </c>
      <c r="C20" s="2">
        <v>10</v>
      </c>
      <c r="D20" s="2">
        <f>VLOOKUP(B20,'Base de Dados'!$A$2:$B$7,2,FALSE)</f>
        <v>15</v>
      </c>
      <c r="E20" s="8">
        <f t="shared" si="2"/>
        <v>0.66666666666666663</v>
      </c>
      <c r="G20" s="7" t="s">
        <v>16</v>
      </c>
      <c r="H20" s="2" t="str">
        <f>VLOOKUP(G20,'Base de Dados'!$D$2:$E$1048576,2,)</f>
        <v>Junior</v>
      </c>
      <c r="I20" s="2">
        <v>8</v>
      </c>
      <c r="J20" s="2">
        <f>VLOOKUP(H20,'Base de Dados'!$A$2:$B$7,2,FALSE)</f>
        <v>15</v>
      </c>
      <c r="K20" s="8">
        <f t="shared" si="3"/>
        <v>0.53333333333333333</v>
      </c>
    </row>
    <row r="21" spans="1:11" x14ac:dyDescent="0.25">
      <c r="A21" s="7" t="s">
        <v>17</v>
      </c>
      <c r="B21" s="2" t="str">
        <f>VLOOKUP(A21,'Base de Dados'!$D$2:$E$1048576,2,)</f>
        <v>Especialista</v>
      </c>
      <c r="C21" s="2">
        <v>12</v>
      </c>
      <c r="D21" s="2">
        <f>VLOOKUP(B21,'Base de Dados'!$A$2:$B$7,2,FALSE)</f>
        <v>30</v>
      </c>
      <c r="E21" s="8">
        <f t="shared" si="2"/>
        <v>0.4</v>
      </c>
      <c r="G21" s="7" t="s">
        <v>17</v>
      </c>
      <c r="H21" s="2" t="str">
        <f>VLOOKUP(G21,'Base de Dados'!$D$2:$E$1048576,2,)</f>
        <v>Especialista</v>
      </c>
      <c r="I21" s="2">
        <v>13</v>
      </c>
      <c r="J21" s="2">
        <f>VLOOKUP(H21,'Base de Dados'!$A$2:$B$7,2,FALSE)</f>
        <v>30</v>
      </c>
      <c r="K21" s="8">
        <f t="shared" si="3"/>
        <v>0.43333333333333335</v>
      </c>
    </row>
    <row r="22" spans="1:11" x14ac:dyDescent="0.25">
      <c r="A22" s="7" t="s">
        <v>18</v>
      </c>
      <c r="B22" s="2" t="str">
        <f>VLOOKUP(A22,'Base de Dados'!$D$2:$E$1048576,2,)</f>
        <v>Junior</v>
      </c>
      <c r="C22" s="2">
        <v>14</v>
      </c>
      <c r="D22" s="2">
        <f>VLOOKUP(B22,'Base de Dados'!$A$2:$B$7,2,FALSE)</f>
        <v>15</v>
      </c>
      <c r="E22" s="8">
        <f t="shared" si="2"/>
        <v>0.93333333333333335</v>
      </c>
      <c r="G22" s="7" t="s">
        <v>18</v>
      </c>
      <c r="H22" s="2" t="str">
        <f>VLOOKUP(G22,'Base de Dados'!$D$2:$E$1048576,2,)</f>
        <v>Junior</v>
      </c>
      <c r="I22" s="2">
        <v>21</v>
      </c>
      <c r="J22" s="2">
        <f>VLOOKUP(H22,'Base de Dados'!$A$2:$B$7,2,FALSE)</f>
        <v>15</v>
      </c>
      <c r="K22" s="8">
        <f t="shared" si="3"/>
        <v>1.4</v>
      </c>
    </row>
    <row r="23" spans="1:11" x14ac:dyDescent="0.25">
      <c r="A23" s="7" t="s">
        <v>19</v>
      </c>
      <c r="B23" s="2" t="str">
        <f>VLOOKUP(A23,'Base de Dados'!$D$2:$E$1048576,2,)</f>
        <v>Junior</v>
      </c>
      <c r="C23" s="2">
        <v>16</v>
      </c>
      <c r="D23" s="2">
        <f>VLOOKUP(B23,'Base de Dados'!$A$2:$B$7,2,FALSE)</f>
        <v>15</v>
      </c>
      <c r="E23" s="8">
        <f t="shared" si="2"/>
        <v>1.0666666666666667</v>
      </c>
      <c r="G23" s="7" t="s">
        <v>19</v>
      </c>
      <c r="H23" s="2" t="str">
        <f>VLOOKUP(G23,'Base de Dados'!$D$2:$E$1048576,2,)</f>
        <v>Junior</v>
      </c>
      <c r="I23" s="2">
        <v>44</v>
      </c>
      <c r="J23" s="2">
        <f>VLOOKUP(H23,'Base de Dados'!$A$2:$B$7,2,FALSE)</f>
        <v>15</v>
      </c>
      <c r="K23" s="8">
        <f t="shared" si="3"/>
        <v>2.9333333333333331</v>
      </c>
    </row>
    <row r="24" spans="1:11" ht="15.75" thickBot="1" x14ac:dyDescent="0.3">
      <c r="A24" s="9" t="s">
        <v>20</v>
      </c>
      <c r="B24" s="10" t="str">
        <f>VLOOKUP(A24,'Base de Dados'!$D$2:$E$1048576,2,)</f>
        <v>Junior</v>
      </c>
      <c r="C24" s="10">
        <v>18</v>
      </c>
      <c r="D24" s="10">
        <f>VLOOKUP(B24,'Base de Dados'!$A$2:$B$7,2,FALSE)</f>
        <v>15</v>
      </c>
      <c r="E24" s="11">
        <f t="shared" si="2"/>
        <v>1.2</v>
      </c>
      <c r="G24" s="9" t="s">
        <v>20</v>
      </c>
      <c r="H24" s="10" t="str">
        <f>VLOOKUP(G24,'Base de Dados'!$D$2:$E$1048576,2,)</f>
        <v>Junior</v>
      </c>
      <c r="I24" s="10">
        <v>65</v>
      </c>
      <c r="J24" s="10">
        <f>VLOOKUP(H24,'Base de Dados'!$A$2:$B$7,2,FALSE)</f>
        <v>15</v>
      </c>
      <c r="K24" s="11">
        <f t="shared" si="3"/>
        <v>4.333333333333333</v>
      </c>
    </row>
    <row r="25" spans="1:11" ht="15.75" thickBot="1" x14ac:dyDescent="0.3"/>
    <row r="26" spans="1:11" x14ac:dyDescent="0.25">
      <c r="A26" s="18" t="s">
        <v>26</v>
      </c>
      <c r="B26" s="19"/>
      <c r="C26" s="19"/>
      <c r="D26" s="19"/>
      <c r="E26" s="20"/>
    </row>
    <row r="27" spans="1:11" x14ac:dyDescent="0.25">
      <c r="A27" s="5" t="s">
        <v>0</v>
      </c>
      <c r="B27" s="4" t="s">
        <v>4</v>
      </c>
      <c r="C27" s="4" t="s">
        <v>1</v>
      </c>
      <c r="D27" s="4" t="s">
        <v>3</v>
      </c>
      <c r="E27" s="6" t="s">
        <v>9</v>
      </c>
    </row>
    <row r="28" spans="1:11" x14ac:dyDescent="0.25">
      <c r="A28" s="7" t="s">
        <v>8</v>
      </c>
      <c r="B28" s="2" t="str">
        <f>VLOOKUP(A28,'Base de Dados'!$D$2:$E$1048576,2,)</f>
        <v>Pleno</v>
      </c>
      <c r="C28" s="2">
        <v>2</v>
      </c>
      <c r="D28" s="2">
        <f>VLOOKUP(B28,'Base de Dados'!$A$2:$B$7,2,FALSE)</f>
        <v>20</v>
      </c>
      <c r="E28" s="8">
        <f>C28/D28</f>
        <v>0.1</v>
      </c>
    </row>
    <row r="29" spans="1:11" x14ac:dyDescent="0.25">
      <c r="A29" s="7" t="s">
        <v>13</v>
      </c>
      <c r="B29" s="2" t="str">
        <f>VLOOKUP(A29,'Base de Dados'!$D$2:$E$1048576,2,)</f>
        <v>Pleno</v>
      </c>
      <c r="C29" s="2">
        <v>4</v>
      </c>
      <c r="D29" s="2">
        <f>VLOOKUP(B29,'Base de Dados'!$A$2:$B$7,2,FALSE)</f>
        <v>20</v>
      </c>
      <c r="E29" s="8">
        <f t="shared" ref="E29:E36" si="4">C29/D29</f>
        <v>0.2</v>
      </c>
    </row>
    <row r="30" spans="1:11" x14ac:dyDescent="0.25">
      <c r="A30" s="7" t="s">
        <v>14</v>
      </c>
      <c r="B30" s="2" t="str">
        <f>VLOOKUP(A30,'Base de Dados'!$D$2:$E$1048576,2,)</f>
        <v>Pleno</v>
      </c>
      <c r="C30" s="2">
        <v>8</v>
      </c>
      <c r="D30" s="2">
        <f>VLOOKUP(B30,'Base de Dados'!$A$2:$B$7,2,FALSE)</f>
        <v>20</v>
      </c>
      <c r="E30" s="8">
        <f t="shared" si="4"/>
        <v>0.4</v>
      </c>
    </row>
    <row r="31" spans="1:11" x14ac:dyDescent="0.25">
      <c r="A31" s="7" t="s">
        <v>15</v>
      </c>
      <c r="B31" s="2" t="str">
        <f>VLOOKUP(A31,'Base de Dados'!$D$2:$E$1048576,2,)</f>
        <v>Junior</v>
      </c>
      <c r="C31" s="2">
        <v>16</v>
      </c>
      <c r="D31" s="2">
        <f>VLOOKUP(B31,'Base de Dados'!$A$2:$B$7,2,FALSE)</f>
        <v>15</v>
      </c>
      <c r="E31" s="8">
        <f t="shared" si="4"/>
        <v>1.0666666666666667</v>
      </c>
    </row>
    <row r="32" spans="1:11" x14ac:dyDescent="0.25">
      <c r="A32" s="7" t="s">
        <v>16</v>
      </c>
      <c r="B32" s="2" t="str">
        <f>VLOOKUP(A32,'Base de Dados'!$D$2:$E$1048576,2,)</f>
        <v>Junior</v>
      </c>
      <c r="C32" s="2">
        <v>32</v>
      </c>
      <c r="D32" s="2">
        <f>VLOOKUP(B32,'Base de Dados'!$A$2:$B$7,2,FALSE)</f>
        <v>15</v>
      </c>
      <c r="E32" s="8">
        <f t="shared" si="4"/>
        <v>2.1333333333333333</v>
      </c>
    </row>
    <row r="33" spans="1:5" x14ac:dyDescent="0.25">
      <c r="A33" s="7" t="s">
        <v>17</v>
      </c>
      <c r="B33" s="2" t="str">
        <f>VLOOKUP(A33,'Base de Dados'!$D$2:$E$1048576,2,)</f>
        <v>Especialista</v>
      </c>
      <c r="C33" s="2">
        <v>64</v>
      </c>
      <c r="D33" s="2">
        <f>VLOOKUP(B33,'Base de Dados'!$A$2:$B$7,2,FALSE)</f>
        <v>30</v>
      </c>
      <c r="E33" s="8">
        <f t="shared" si="4"/>
        <v>2.1333333333333333</v>
      </c>
    </row>
    <row r="34" spans="1:5" x14ac:dyDescent="0.25">
      <c r="A34" s="7" t="s">
        <v>18</v>
      </c>
      <c r="B34" s="2" t="str">
        <f>VLOOKUP(A34,'Base de Dados'!$D$2:$E$1048576,2,)</f>
        <v>Junior</v>
      </c>
      <c r="C34" s="2">
        <v>128</v>
      </c>
      <c r="D34" s="2">
        <f>VLOOKUP(B34,'Base de Dados'!$A$2:$B$7,2,FALSE)</f>
        <v>15</v>
      </c>
      <c r="E34" s="8">
        <f t="shared" si="4"/>
        <v>8.5333333333333332</v>
      </c>
    </row>
    <row r="35" spans="1:5" x14ac:dyDescent="0.25">
      <c r="A35" s="7" t="s">
        <v>19</v>
      </c>
      <c r="B35" s="2" t="str">
        <f>VLOOKUP(A35,'Base de Dados'!$D$2:$E$1048576,2,)</f>
        <v>Junior</v>
      </c>
      <c r="C35" s="2">
        <v>256</v>
      </c>
      <c r="D35" s="2">
        <f>VLOOKUP(B35,'Base de Dados'!$A$2:$B$7,2,FALSE)</f>
        <v>15</v>
      </c>
      <c r="E35" s="8">
        <f t="shared" si="4"/>
        <v>17.066666666666666</v>
      </c>
    </row>
    <row r="36" spans="1:5" ht="15.75" thickBot="1" x14ac:dyDescent="0.3">
      <c r="A36" s="9" t="s">
        <v>20</v>
      </c>
      <c r="B36" s="10" t="str">
        <f>VLOOKUP(A36,'Base de Dados'!$D$2:$E$1048576,2,)</f>
        <v>Junior</v>
      </c>
      <c r="C36" s="10">
        <v>512</v>
      </c>
      <c r="D36" s="10">
        <f>VLOOKUP(B36,'Base de Dados'!$A$2:$B$7,2,FALSE)</f>
        <v>15</v>
      </c>
      <c r="E36" s="11">
        <f t="shared" si="4"/>
        <v>34.133333333333333</v>
      </c>
    </row>
  </sheetData>
  <mergeCells count="6">
    <mergeCell ref="A26:E26"/>
    <mergeCell ref="A1:K1"/>
    <mergeCell ref="A2:E2"/>
    <mergeCell ref="G2:K2"/>
    <mergeCell ref="A14:E14"/>
    <mergeCell ref="G14:K14"/>
  </mergeCells>
  <conditionalFormatting sqref="E16:E24">
    <cfRule type="dataBar" priority="5">
      <dataBar>
        <cfvo type="percent" val="0"/>
        <cfvo type="percent" val="100"/>
        <color theme="8" tint="-0.249977111117893"/>
      </dataBar>
      <extLst>
        <ext xmlns:x14="http://schemas.microsoft.com/office/spreadsheetml/2009/9/main" uri="{B025F937-C7B1-47D3-B67F-A62EFF666E3E}">
          <x14:id>{B25756C5-7457-462B-B026-28D7E3B641BE}</x14:id>
        </ext>
      </extLst>
    </cfRule>
  </conditionalFormatting>
  <conditionalFormatting sqref="E4:E12">
    <cfRule type="dataBar" priority="4">
      <dataBar>
        <cfvo type="percent" val="0"/>
        <cfvo type="percent" val="100"/>
        <color theme="8" tint="-0.249977111117893"/>
      </dataBar>
      <extLst>
        <ext xmlns:x14="http://schemas.microsoft.com/office/spreadsheetml/2009/9/main" uri="{B025F937-C7B1-47D3-B67F-A62EFF666E3E}">
          <x14:id>{9C70431B-D49E-4FD6-B34D-45078E7254AB}</x14:id>
        </ext>
      </extLst>
    </cfRule>
  </conditionalFormatting>
  <conditionalFormatting sqref="K4:K12">
    <cfRule type="dataBar" priority="3">
      <dataBar>
        <cfvo type="percent" val="0"/>
        <cfvo type="percent" val="100"/>
        <color theme="8" tint="-0.249977111117893"/>
      </dataBar>
      <extLst>
        <ext xmlns:x14="http://schemas.microsoft.com/office/spreadsheetml/2009/9/main" uri="{B025F937-C7B1-47D3-B67F-A62EFF666E3E}">
          <x14:id>{E5D89919-A317-4695-AC34-A1467FB2C499}</x14:id>
        </ext>
      </extLst>
    </cfRule>
  </conditionalFormatting>
  <conditionalFormatting sqref="K16:K24">
    <cfRule type="dataBar" priority="2">
      <dataBar>
        <cfvo type="percent" val="0"/>
        <cfvo type="percent" val="100"/>
        <color theme="8" tint="-0.249977111117893"/>
      </dataBar>
      <extLst>
        <ext xmlns:x14="http://schemas.microsoft.com/office/spreadsheetml/2009/9/main" uri="{B025F937-C7B1-47D3-B67F-A62EFF666E3E}">
          <x14:id>{1FCD051F-123C-428F-9D30-C02366101DFE}</x14:id>
        </ext>
      </extLst>
    </cfRule>
  </conditionalFormatting>
  <conditionalFormatting sqref="E28:E36">
    <cfRule type="dataBar" priority="1">
      <dataBar>
        <cfvo type="percent" val="0"/>
        <cfvo type="percent" val="100"/>
        <color theme="8" tint="-0.249977111117893"/>
      </dataBar>
      <extLst>
        <ext xmlns:x14="http://schemas.microsoft.com/office/spreadsheetml/2009/9/main" uri="{B025F937-C7B1-47D3-B67F-A62EFF666E3E}">
          <x14:id>{316C7DD8-A631-49DA-B840-4984E97200D8}</x14:id>
        </ext>
      </extLst>
    </cfRule>
  </conditionalFormatting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25756C5-7457-462B-B026-28D7E3B641BE}">
            <x14:dataBar minLength="0" maxLength="100" direction="leftToRight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E16:E24</xm:sqref>
        </x14:conditionalFormatting>
        <x14:conditionalFormatting xmlns:xm="http://schemas.microsoft.com/office/excel/2006/main">
          <x14:cfRule type="dataBar" id="{9C70431B-D49E-4FD6-B34D-45078E7254AB}">
            <x14:dataBar minLength="0" maxLength="100" direction="leftToRight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E4:E12</xm:sqref>
        </x14:conditionalFormatting>
        <x14:conditionalFormatting xmlns:xm="http://schemas.microsoft.com/office/excel/2006/main">
          <x14:cfRule type="dataBar" id="{E5D89919-A317-4695-AC34-A1467FB2C499}">
            <x14:dataBar minLength="0" maxLength="100" direction="leftToRight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K4:K12</xm:sqref>
        </x14:conditionalFormatting>
        <x14:conditionalFormatting xmlns:xm="http://schemas.microsoft.com/office/excel/2006/main">
          <x14:cfRule type="dataBar" id="{1FCD051F-123C-428F-9D30-C02366101DFE}">
            <x14:dataBar minLength="0" maxLength="100" direction="leftToRight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K16:K24</xm:sqref>
        </x14:conditionalFormatting>
        <x14:conditionalFormatting xmlns:xm="http://schemas.microsoft.com/office/excel/2006/main">
          <x14:cfRule type="dataBar" id="{316C7DD8-A631-49DA-B840-4984E97200D8}">
            <x14:dataBar minLength="0" maxLength="100" direction="leftToRight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E28:E36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B27ECDF-D9DE-4D65-B28E-343A176F2C84}">
          <x14:formula1>
            <xm:f>'Base de Dados'!$D$2:$D$1048576</xm:f>
          </x14:formula1>
          <xm:sqref>G4:G12 A4:A13 A16:A24 G16:G24 A28:A36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E2891-CFD7-4743-BCA0-0DFD158B4C55}">
  <sheetPr codeName="Planilha11"/>
  <dimension ref="A1:K36"/>
  <sheetViews>
    <sheetView showGridLines="0" workbookViewId="0">
      <selection sqref="A1:K1"/>
    </sheetView>
  </sheetViews>
  <sheetFormatPr defaultRowHeight="15" x14ac:dyDescent="0.25"/>
  <cols>
    <col min="1" max="1" width="17.5703125" bestFit="1" customWidth="1"/>
    <col min="2" max="2" width="11.7109375" bestFit="1" customWidth="1"/>
    <col min="3" max="3" width="10.28515625" bestFit="1" customWidth="1"/>
    <col min="4" max="4" width="5.85546875" bestFit="1" customWidth="1"/>
    <col min="5" max="5" width="9.85546875" style="1" bestFit="1" customWidth="1"/>
    <col min="6" max="6" width="2.7109375" customWidth="1"/>
    <col min="7" max="7" width="17.5703125" bestFit="1" customWidth="1"/>
    <col min="8" max="8" width="11.7109375" bestFit="1" customWidth="1"/>
    <col min="9" max="9" width="10.28515625" bestFit="1" customWidth="1"/>
    <col min="10" max="10" width="5.85546875" bestFit="1" customWidth="1"/>
    <col min="11" max="11" width="8.7109375" bestFit="1" customWidth="1"/>
  </cols>
  <sheetData>
    <row r="1" spans="1:11" ht="19.5" thickBot="1" x14ac:dyDescent="0.45">
      <c r="A1" s="21" t="s">
        <v>34</v>
      </c>
      <c r="B1" s="21"/>
      <c r="C1" s="21"/>
      <c r="D1" s="21"/>
      <c r="E1" s="21"/>
      <c r="F1" s="21"/>
      <c r="G1" s="21"/>
      <c r="H1" s="21"/>
      <c r="I1" s="21"/>
      <c r="J1" s="21"/>
      <c r="K1" s="21"/>
    </row>
    <row r="2" spans="1:11" x14ac:dyDescent="0.25">
      <c r="A2" s="18" t="s">
        <v>22</v>
      </c>
      <c r="B2" s="19"/>
      <c r="C2" s="19"/>
      <c r="D2" s="19"/>
      <c r="E2" s="20"/>
      <c r="G2" s="18" t="s">
        <v>23</v>
      </c>
      <c r="H2" s="19"/>
      <c r="I2" s="19"/>
      <c r="J2" s="19"/>
      <c r="K2" s="20"/>
    </row>
    <row r="3" spans="1:11" x14ac:dyDescent="0.25">
      <c r="A3" s="13" t="s">
        <v>0</v>
      </c>
      <c r="B3" s="12" t="s">
        <v>4</v>
      </c>
      <c r="C3" s="12" t="s">
        <v>1</v>
      </c>
      <c r="D3" s="12" t="s">
        <v>3</v>
      </c>
      <c r="E3" s="14" t="s">
        <v>9</v>
      </c>
      <c r="G3" s="13" t="s">
        <v>0</v>
      </c>
      <c r="H3" s="12" t="s">
        <v>4</v>
      </c>
      <c r="I3" s="12" t="s">
        <v>1</v>
      </c>
      <c r="J3" s="12" t="s">
        <v>3</v>
      </c>
      <c r="K3" s="14" t="s">
        <v>9</v>
      </c>
    </row>
    <row r="4" spans="1:11" x14ac:dyDescent="0.25">
      <c r="A4" s="7" t="s">
        <v>8</v>
      </c>
      <c r="B4" s="2" t="str">
        <f>VLOOKUP(A4,'Base de Dados'!$D$2:$E$1048576,2,)</f>
        <v>Pleno</v>
      </c>
      <c r="C4" s="2">
        <v>1</v>
      </c>
      <c r="D4" s="2">
        <f>VLOOKUP(B4,'Base de Dados'!$A$2:$B$7,2,FALSE)</f>
        <v>20</v>
      </c>
      <c r="E4" s="8">
        <f>C4/D4</f>
        <v>0.05</v>
      </c>
      <c r="G4" s="7" t="s">
        <v>8</v>
      </c>
      <c r="H4" s="2" t="str">
        <f>VLOOKUP(G4,'Base de Dados'!$D$2:$E$1048576,2,)</f>
        <v>Pleno</v>
      </c>
      <c r="I4" s="2">
        <v>9</v>
      </c>
      <c r="J4" s="2">
        <f>VLOOKUP(H4,'Base de Dados'!$A$2:$B$7,2,FALSE)</f>
        <v>20</v>
      </c>
      <c r="K4" s="8">
        <f>I4/J4</f>
        <v>0.45</v>
      </c>
    </row>
    <row r="5" spans="1:11" x14ac:dyDescent="0.25">
      <c r="A5" s="7" t="s">
        <v>13</v>
      </c>
      <c r="B5" s="2" t="str">
        <f>VLOOKUP(A5,'Base de Dados'!$D$2:$E$1048576,2,)</f>
        <v>Pleno</v>
      </c>
      <c r="C5" s="2">
        <v>2</v>
      </c>
      <c r="D5" s="2">
        <f>VLOOKUP(B5,'Base de Dados'!$A$2:$B$7,2,FALSE)</f>
        <v>20</v>
      </c>
      <c r="E5" s="8">
        <f t="shared" ref="E5:E12" si="0">C5/D5</f>
        <v>0.1</v>
      </c>
      <c r="G5" s="7" t="s">
        <v>13</v>
      </c>
      <c r="H5" s="2" t="str">
        <f>VLOOKUP(G5,'Base de Dados'!$D$2:$E$1048576,2,)</f>
        <v>Pleno</v>
      </c>
      <c r="I5" s="2">
        <v>8</v>
      </c>
      <c r="J5" s="2">
        <f>VLOOKUP(H5,'Base de Dados'!$A$2:$B$7,2,FALSE)</f>
        <v>20</v>
      </c>
      <c r="K5" s="8">
        <f t="shared" ref="K5:K12" si="1">I5/J5</f>
        <v>0.4</v>
      </c>
    </row>
    <row r="6" spans="1:11" x14ac:dyDescent="0.25">
      <c r="A6" s="7" t="s">
        <v>14</v>
      </c>
      <c r="B6" s="2" t="str">
        <f>VLOOKUP(A6,'Base de Dados'!$D$2:$E$1048576,2,)</f>
        <v>Pleno</v>
      </c>
      <c r="C6" s="2">
        <v>3</v>
      </c>
      <c r="D6" s="2">
        <f>VLOOKUP(B6,'Base de Dados'!$A$2:$B$7,2,FALSE)</f>
        <v>20</v>
      </c>
      <c r="E6" s="8">
        <f t="shared" si="0"/>
        <v>0.15</v>
      </c>
      <c r="G6" s="7" t="s">
        <v>14</v>
      </c>
      <c r="H6" s="2" t="str">
        <f>VLOOKUP(G6,'Base de Dados'!$D$2:$E$1048576,2,)</f>
        <v>Pleno</v>
      </c>
      <c r="I6" s="2">
        <v>7</v>
      </c>
      <c r="J6" s="2">
        <f>VLOOKUP(H6,'Base de Dados'!$A$2:$B$7,2,FALSE)</f>
        <v>20</v>
      </c>
      <c r="K6" s="8">
        <f t="shared" si="1"/>
        <v>0.35</v>
      </c>
    </row>
    <row r="7" spans="1:11" x14ac:dyDescent="0.25">
      <c r="A7" s="7" t="s">
        <v>15</v>
      </c>
      <c r="B7" s="2" t="str">
        <f>VLOOKUP(A7,'Base de Dados'!$D$2:$E$1048576,2,)</f>
        <v>Junior</v>
      </c>
      <c r="C7" s="2">
        <v>4</v>
      </c>
      <c r="D7" s="2">
        <f>VLOOKUP(B7,'Base de Dados'!$A$2:$B$7,2,FALSE)</f>
        <v>15</v>
      </c>
      <c r="E7" s="8">
        <f t="shared" si="0"/>
        <v>0.26666666666666666</v>
      </c>
      <c r="G7" s="7" t="s">
        <v>15</v>
      </c>
      <c r="H7" s="2" t="str">
        <f>VLOOKUP(G7,'Base de Dados'!$D$2:$E$1048576,2,)</f>
        <v>Junior</v>
      </c>
      <c r="I7" s="2">
        <v>6</v>
      </c>
      <c r="J7" s="2">
        <f>VLOOKUP(H7,'Base de Dados'!$A$2:$B$7,2,FALSE)</f>
        <v>15</v>
      </c>
      <c r="K7" s="8">
        <f t="shared" si="1"/>
        <v>0.4</v>
      </c>
    </row>
    <row r="8" spans="1:11" x14ac:dyDescent="0.25">
      <c r="A8" s="7" t="s">
        <v>16</v>
      </c>
      <c r="B8" s="2" t="str">
        <f>VLOOKUP(A8,'Base de Dados'!$D$2:$E$1048576,2,)</f>
        <v>Junior</v>
      </c>
      <c r="C8" s="2">
        <v>5</v>
      </c>
      <c r="D8" s="2">
        <f>VLOOKUP(B8,'Base de Dados'!$A$2:$B$7,2,FALSE)</f>
        <v>15</v>
      </c>
      <c r="E8" s="8">
        <f t="shared" si="0"/>
        <v>0.33333333333333331</v>
      </c>
      <c r="G8" s="7" t="s">
        <v>16</v>
      </c>
      <c r="H8" s="2" t="str">
        <f>VLOOKUP(G8,'Base de Dados'!$D$2:$E$1048576,2,)</f>
        <v>Junior</v>
      </c>
      <c r="I8" s="2">
        <v>5</v>
      </c>
      <c r="J8" s="2">
        <f>VLOOKUP(H8,'Base de Dados'!$A$2:$B$7,2,FALSE)</f>
        <v>15</v>
      </c>
      <c r="K8" s="8">
        <f t="shared" si="1"/>
        <v>0.33333333333333331</v>
      </c>
    </row>
    <row r="9" spans="1:11" x14ac:dyDescent="0.25">
      <c r="A9" s="7" t="s">
        <v>17</v>
      </c>
      <c r="B9" s="2" t="str">
        <f>VLOOKUP(A9,'Base de Dados'!$D$2:$E$1048576,2,)</f>
        <v>Especialista</v>
      </c>
      <c r="C9" s="2">
        <v>6</v>
      </c>
      <c r="D9" s="2">
        <f>VLOOKUP(B9,'Base de Dados'!$A$2:$B$7,2,FALSE)</f>
        <v>30</v>
      </c>
      <c r="E9" s="8">
        <f t="shared" si="0"/>
        <v>0.2</v>
      </c>
      <c r="G9" s="7" t="s">
        <v>17</v>
      </c>
      <c r="H9" s="2" t="str">
        <f>VLOOKUP(G9,'Base de Dados'!$D$2:$E$1048576,2,)</f>
        <v>Especialista</v>
      </c>
      <c r="I9" s="2">
        <v>4</v>
      </c>
      <c r="J9" s="2">
        <f>VLOOKUP(H9,'Base de Dados'!$A$2:$B$7,2,FALSE)</f>
        <v>30</v>
      </c>
      <c r="K9" s="8">
        <f t="shared" si="1"/>
        <v>0.13333333333333333</v>
      </c>
    </row>
    <row r="10" spans="1:11" x14ac:dyDescent="0.25">
      <c r="A10" s="7" t="s">
        <v>18</v>
      </c>
      <c r="B10" s="2" t="str">
        <f>VLOOKUP(A10,'Base de Dados'!$D$2:$E$1048576,2,)</f>
        <v>Junior</v>
      </c>
      <c r="C10" s="2">
        <v>7</v>
      </c>
      <c r="D10" s="2">
        <f>VLOOKUP(B10,'Base de Dados'!$A$2:$B$7,2,FALSE)</f>
        <v>15</v>
      </c>
      <c r="E10" s="8">
        <f t="shared" si="0"/>
        <v>0.46666666666666667</v>
      </c>
      <c r="G10" s="7" t="s">
        <v>18</v>
      </c>
      <c r="H10" s="2" t="str">
        <f>VLOOKUP(G10,'Base de Dados'!$D$2:$E$1048576,2,)</f>
        <v>Junior</v>
      </c>
      <c r="I10" s="2">
        <v>3</v>
      </c>
      <c r="J10" s="2">
        <f>VLOOKUP(H10,'Base de Dados'!$A$2:$B$7,2,FALSE)</f>
        <v>15</v>
      </c>
      <c r="K10" s="8">
        <f t="shared" si="1"/>
        <v>0.2</v>
      </c>
    </row>
    <row r="11" spans="1:11" x14ac:dyDescent="0.25">
      <c r="A11" s="7" t="s">
        <v>19</v>
      </c>
      <c r="B11" s="2" t="str">
        <f>VLOOKUP(A11,'Base de Dados'!$D$2:$E$1048576,2,)</f>
        <v>Junior</v>
      </c>
      <c r="C11" s="2">
        <v>8</v>
      </c>
      <c r="D11" s="2">
        <f>VLOOKUP(B11,'Base de Dados'!$A$2:$B$7,2,FALSE)</f>
        <v>15</v>
      </c>
      <c r="E11" s="8">
        <f t="shared" si="0"/>
        <v>0.53333333333333333</v>
      </c>
      <c r="G11" s="7" t="s">
        <v>19</v>
      </c>
      <c r="H11" s="2" t="str">
        <f>VLOOKUP(G11,'Base de Dados'!$D$2:$E$1048576,2,)</f>
        <v>Junior</v>
      </c>
      <c r="I11" s="2">
        <v>2</v>
      </c>
      <c r="J11" s="2">
        <f>VLOOKUP(H11,'Base de Dados'!$A$2:$B$7,2,FALSE)</f>
        <v>15</v>
      </c>
      <c r="K11" s="8">
        <f t="shared" si="1"/>
        <v>0.13333333333333333</v>
      </c>
    </row>
    <row r="12" spans="1:11" ht="15.75" thickBot="1" x14ac:dyDescent="0.3">
      <c r="A12" s="9" t="s">
        <v>20</v>
      </c>
      <c r="B12" s="10" t="str">
        <f>VLOOKUP(A12,'Base de Dados'!$D$2:$E$1048576,2,)</f>
        <v>Junior</v>
      </c>
      <c r="C12" s="10">
        <v>9</v>
      </c>
      <c r="D12" s="10">
        <f>VLOOKUP(B12,'Base de Dados'!$A$2:$B$7,2,FALSE)</f>
        <v>15</v>
      </c>
      <c r="E12" s="11">
        <f t="shared" si="0"/>
        <v>0.6</v>
      </c>
      <c r="G12" s="9" t="s">
        <v>20</v>
      </c>
      <c r="H12" s="10" t="str">
        <f>VLOOKUP(G12,'Base de Dados'!$D$2:$E$1048576,2,)</f>
        <v>Junior</v>
      </c>
      <c r="I12" s="10">
        <v>1</v>
      </c>
      <c r="J12" s="10">
        <f>VLOOKUP(H12,'Base de Dados'!$A$2:$B$7,2,FALSE)</f>
        <v>15</v>
      </c>
      <c r="K12" s="11">
        <f t="shared" si="1"/>
        <v>6.6666666666666666E-2</v>
      </c>
    </row>
    <row r="13" spans="1:11" ht="15.75" thickBot="1" x14ac:dyDescent="0.3"/>
    <row r="14" spans="1:11" x14ac:dyDescent="0.25">
      <c r="A14" s="18" t="s">
        <v>24</v>
      </c>
      <c r="B14" s="19"/>
      <c r="C14" s="19"/>
      <c r="D14" s="19"/>
      <c r="E14" s="20"/>
      <c r="G14" s="18" t="s">
        <v>25</v>
      </c>
      <c r="H14" s="19"/>
      <c r="I14" s="19"/>
      <c r="J14" s="19"/>
      <c r="K14" s="20"/>
    </row>
    <row r="15" spans="1:11" x14ac:dyDescent="0.25">
      <c r="A15" s="13" t="s">
        <v>0</v>
      </c>
      <c r="B15" s="12" t="s">
        <v>4</v>
      </c>
      <c r="C15" s="12" t="s">
        <v>1</v>
      </c>
      <c r="D15" s="12" t="s">
        <v>3</v>
      </c>
      <c r="E15" s="14" t="s">
        <v>9</v>
      </c>
      <c r="G15" s="13" t="s">
        <v>0</v>
      </c>
      <c r="H15" s="12" t="s">
        <v>4</v>
      </c>
      <c r="I15" s="12" t="s">
        <v>1</v>
      </c>
      <c r="J15" s="12" t="s">
        <v>3</v>
      </c>
      <c r="K15" s="14" t="s">
        <v>9</v>
      </c>
    </row>
    <row r="16" spans="1:11" x14ac:dyDescent="0.25">
      <c r="A16" s="7" t="s">
        <v>8</v>
      </c>
      <c r="B16" s="2" t="str">
        <f>VLOOKUP(A16,'Base de Dados'!$D$2:$E$1048576,2,)</f>
        <v>Pleno</v>
      </c>
      <c r="C16" s="2">
        <v>2</v>
      </c>
      <c r="D16" s="2">
        <f>VLOOKUP(B16,'Base de Dados'!$A$2:$B$7,2,FALSE)</f>
        <v>20</v>
      </c>
      <c r="E16" s="8">
        <f>C16/D16</f>
        <v>0.1</v>
      </c>
      <c r="G16" s="7" t="s">
        <v>8</v>
      </c>
      <c r="H16" s="2" t="str">
        <f>VLOOKUP(G16,'Base de Dados'!$D$2:$E$1048576,2,)</f>
        <v>Pleno</v>
      </c>
      <c r="I16" s="2">
        <v>1</v>
      </c>
      <c r="J16" s="2">
        <f>VLOOKUP(H16,'Base de Dados'!$A$2:$B$7,2,FALSE)</f>
        <v>20</v>
      </c>
      <c r="K16" s="8">
        <f>I16/J16</f>
        <v>0.05</v>
      </c>
    </row>
    <row r="17" spans="1:11" x14ac:dyDescent="0.25">
      <c r="A17" s="7" t="s">
        <v>13</v>
      </c>
      <c r="B17" s="2" t="str">
        <f>VLOOKUP(A17,'Base de Dados'!$D$2:$E$1048576,2,)</f>
        <v>Pleno</v>
      </c>
      <c r="C17" s="2">
        <v>4</v>
      </c>
      <c r="D17" s="2">
        <f>VLOOKUP(B17,'Base de Dados'!$A$2:$B$7,2,FALSE)</f>
        <v>20</v>
      </c>
      <c r="E17" s="8">
        <f t="shared" ref="E17:E24" si="2">C17/D17</f>
        <v>0.2</v>
      </c>
      <c r="G17" s="7" t="s">
        <v>13</v>
      </c>
      <c r="H17" s="2" t="str">
        <f>VLOOKUP(G17,'Base de Dados'!$D$2:$E$1048576,2,)</f>
        <v>Pleno</v>
      </c>
      <c r="I17" s="2">
        <v>2</v>
      </c>
      <c r="J17" s="2">
        <f>VLOOKUP(H17,'Base de Dados'!$A$2:$B$7,2,FALSE)</f>
        <v>20</v>
      </c>
      <c r="K17" s="8">
        <f t="shared" ref="K17:K24" si="3">I17/J17</f>
        <v>0.1</v>
      </c>
    </row>
    <row r="18" spans="1:11" x14ac:dyDescent="0.25">
      <c r="A18" s="7" t="s">
        <v>14</v>
      </c>
      <c r="B18" s="2" t="str">
        <f>VLOOKUP(A18,'Base de Dados'!$D$2:$E$1048576,2,)</f>
        <v>Pleno</v>
      </c>
      <c r="C18" s="2">
        <v>6</v>
      </c>
      <c r="D18" s="2">
        <f>VLOOKUP(B18,'Base de Dados'!$A$2:$B$7,2,FALSE)</f>
        <v>20</v>
      </c>
      <c r="E18" s="8">
        <f t="shared" si="2"/>
        <v>0.3</v>
      </c>
      <c r="G18" s="7" t="s">
        <v>14</v>
      </c>
      <c r="H18" s="2" t="str">
        <f>VLOOKUP(G18,'Base de Dados'!$D$2:$E$1048576,2,)</f>
        <v>Pleno</v>
      </c>
      <c r="I18" s="2">
        <v>3</v>
      </c>
      <c r="J18" s="2">
        <f>VLOOKUP(H18,'Base de Dados'!$A$2:$B$7,2,FALSE)</f>
        <v>20</v>
      </c>
      <c r="K18" s="8">
        <f t="shared" si="3"/>
        <v>0.15</v>
      </c>
    </row>
    <row r="19" spans="1:11" x14ac:dyDescent="0.25">
      <c r="A19" s="7" t="s">
        <v>15</v>
      </c>
      <c r="B19" s="2" t="str">
        <f>VLOOKUP(A19,'Base de Dados'!$D$2:$E$1048576,2,)</f>
        <v>Junior</v>
      </c>
      <c r="C19" s="2">
        <v>8</v>
      </c>
      <c r="D19" s="2">
        <f>VLOOKUP(B19,'Base de Dados'!$A$2:$B$7,2,FALSE)</f>
        <v>15</v>
      </c>
      <c r="E19" s="8">
        <f t="shared" si="2"/>
        <v>0.53333333333333333</v>
      </c>
      <c r="G19" s="7" t="s">
        <v>15</v>
      </c>
      <c r="H19" s="2" t="str">
        <f>VLOOKUP(G19,'Base de Dados'!$D$2:$E$1048576,2,)</f>
        <v>Junior</v>
      </c>
      <c r="I19" s="2">
        <v>5</v>
      </c>
      <c r="J19" s="2">
        <f>VLOOKUP(H19,'Base de Dados'!$A$2:$B$7,2,FALSE)</f>
        <v>15</v>
      </c>
      <c r="K19" s="8">
        <f t="shared" si="3"/>
        <v>0.33333333333333331</v>
      </c>
    </row>
    <row r="20" spans="1:11" x14ac:dyDescent="0.25">
      <c r="A20" s="7" t="s">
        <v>16</v>
      </c>
      <c r="B20" s="2" t="str">
        <f>VLOOKUP(A20,'Base de Dados'!$D$2:$E$1048576,2,)</f>
        <v>Junior</v>
      </c>
      <c r="C20" s="2">
        <v>10</v>
      </c>
      <c r="D20" s="2">
        <f>VLOOKUP(B20,'Base de Dados'!$A$2:$B$7,2,FALSE)</f>
        <v>15</v>
      </c>
      <c r="E20" s="8">
        <f t="shared" si="2"/>
        <v>0.66666666666666663</v>
      </c>
      <c r="G20" s="7" t="s">
        <v>16</v>
      </c>
      <c r="H20" s="2" t="str">
        <f>VLOOKUP(G20,'Base de Dados'!$D$2:$E$1048576,2,)</f>
        <v>Junior</v>
      </c>
      <c r="I20" s="2">
        <v>8</v>
      </c>
      <c r="J20" s="2">
        <f>VLOOKUP(H20,'Base de Dados'!$A$2:$B$7,2,FALSE)</f>
        <v>15</v>
      </c>
      <c r="K20" s="8">
        <f t="shared" si="3"/>
        <v>0.53333333333333333</v>
      </c>
    </row>
    <row r="21" spans="1:11" x14ac:dyDescent="0.25">
      <c r="A21" s="7" t="s">
        <v>17</v>
      </c>
      <c r="B21" s="2" t="str">
        <f>VLOOKUP(A21,'Base de Dados'!$D$2:$E$1048576,2,)</f>
        <v>Especialista</v>
      </c>
      <c r="C21" s="2">
        <v>12</v>
      </c>
      <c r="D21" s="2">
        <f>VLOOKUP(B21,'Base de Dados'!$A$2:$B$7,2,FALSE)</f>
        <v>30</v>
      </c>
      <c r="E21" s="8">
        <f t="shared" si="2"/>
        <v>0.4</v>
      </c>
      <c r="G21" s="7" t="s">
        <v>17</v>
      </c>
      <c r="H21" s="2" t="str">
        <f>VLOOKUP(G21,'Base de Dados'!$D$2:$E$1048576,2,)</f>
        <v>Especialista</v>
      </c>
      <c r="I21" s="2">
        <v>13</v>
      </c>
      <c r="J21" s="2">
        <f>VLOOKUP(H21,'Base de Dados'!$A$2:$B$7,2,FALSE)</f>
        <v>30</v>
      </c>
      <c r="K21" s="8">
        <f t="shared" si="3"/>
        <v>0.43333333333333335</v>
      </c>
    </row>
    <row r="22" spans="1:11" x14ac:dyDescent="0.25">
      <c r="A22" s="7" t="s">
        <v>18</v>
      </c>
      <c r="B22" s="2" t="str">
        <f>VLOOKUP(A22,'Base de Dados'!$D$2:$E$1048576,2,)</f>
        <v>Junior</v>
      </c>
      <c r="C22" s="2">
        <v>14</v>
      </c>
      <c r="D22" s="2">
        <f>VLOOKUP(B22,'Base de Dados'!$A$2:$B$7,2,FALSE)</f>
        <v>15</v>
      </c>
      <c r="E22" s="8">
        <f t="shared" si="2"/>
        <v>0.93333333333333335</v>
      </c>
      <c r="G22" s="7" t="s">
        <v>18</v>
      </c>
      <c r="H22" s="2" t="str">
        <f>VLOOKUP(G22,'Base de Dados'!$D$2:$E$1048576,2,)</f>
        <v>Junior</v>
      </c>
      <c r="I22" s="2">
        <v>21</v>
      </c>
      <c r="J22" s="2">
        <f>VLOOKUP(H22,'Base de Dados'!$A$2:$B$7,2,FALSE)</f>
        <v>15</v>
      </c>
      <c r="K22" s="8">
        <f t="shared" si="3"/>
        <v>1.4</v>
      </c>
    </row>
    <row r="23" spans="1:11" x14ac:dyDescent="0.25">
      <c r="A23" s="7" t="s">
        <v>19</v>
      </c>
      <c r="B23" s="2" t="str">
        <f>VLOOKUP(A23,'Base de Dados'!$D$2:$E$1048576,2,)</f>
        <v>Junior</v>
      </c>
      <c r="C23" s="2">
        <v>16</v>
      </c>
      <c r="D23" s="2">
        <f>VLOOKUP(B23,'Base de Dados'!$A$2:$B$7,2,FALSE)</f>
        <v>15</v>
      </c>
      <c r="E23" s="8">
        <f t="shared" si="2"/>
        <v>1.0666666666666667</v>
      </c>
      <c r="G23" s="7" t="s">
        <v>19</v>
      </c>
      <c r="H23" s="2" t="str">
        <f>VLOOKUP(G23,'Base de Dados'!$D$2:$E$1048576,2,)</f>
        <v>Junior</v>
      </c>
      <c r="I23" s="2">
        <v>44</v>
      </c>
      <c r="J23" s="2">
        <f>VLOOKUP(H23,'Base de Dados'!$A$2:$B$7,2,FALSE)</f>
        <v>15</v>
      </c>
      <c r="K23" s="8">
        <f t="shared" si="3"/>
        <v>2.9333333333333331</v>
      </c>
    </row>
    <row r="24" spans="1:11" ht="15.75" thickBot="1" x14ac:dyDescent="0.3">
      <c r="A24" s="9" t="s">
        <v>20</v>
      </c>
      <c r="B24" s="10" t="str">
        <f>VLOOKUP(A24,'Base de Dados'!$D$2:$E$1048576,2,)</f>
        <v>Junior</v>
      </c>
      <c r="C24" s="10">
        <v>18</v>
      </c>
      <c r="D24" s="10">
        <f>VLOOKUP(B24,'Base de Dados'!$A$2:$B$7,2,FALSE)</f>
        <v>15</v>
      </c>
      <c r="E24" s="11">
        <f t="shared" si="2"/>
        <v>1.2</v>
      </c>
      <c r="G24" s="9" t="s">
        <v>20</v>
      </c>
      <c r="H24" s="10" t="str">
        <f>VLOOKUP(G24,'Base de Dados'!$D$2:$E$1048576,2,)</f>
        <v>Junior</v>
      </c>
      <c r="I24" s="10">
        <v>65</v>
      </c>
      <c r="J24" s="10">
        <f>VLOOKUP(H24,'Base de Dados'!$A$2:$B$7,2,FALSE)</f>
        <v>15</v>
      </c>
      <c r="K24" s="11">
        <f t="shared" si="3"/>
        <v>4.333333333333333</v>
      </c>
    </row>
    <row r="25" spans="1:11" ht="15.75" thickBot="1" x14ac:dyDescent="0.3"/>
    <row r="26" spans="1:11" x14ac:dyDescent="0.25">
      <c r="A26" s="18" t="s">
        <v>26</v>
      </c>
      <c r="B26" s="19"/>
      <c r="C26" s="19"/>
      <c r="D26" s="19"/>
      <c r="E26" s="20"/>
    </row>
    <row r="27" spans="1:11" x14ac:dyDescent="0.25">
      <c r="A27" s="13" t="s">
        <v>0</v>
      </c>
      <c r="B27" s="12" t="s">
        <v>4</v>
      </c>
      <c r="C27" s="12" t="s">
        <v>1</v>
      </c>
      <c r="D27" s="12" t="s">
        <v>3</v>
      </c>
      <c r="E27" s="14" t="s">
        <v>9</v>
      </c>
    </row>
    <row r="28" spans="1:11" x14ac:dyDescent="0.25">
      <c r="A28" s="7" t="s">
        <v>8</v>
      </c>
      <c r="B28" s="2" t="str">
        <f>VLOOKUP(A28,'Base de Dados'!$D$2:$E$1048576,2,)</f>
        <v>Pleno</v>
      </c>
      <c r="C28" s="2">
        <v>2</v>
      </c>
      <c r="D28" s="2">
        <f>VLOOKUP(B28,'Base de Dados'!$A$2:$B$7,2,FALSE)</f>
        <v>20</v>
      </c>
      <c r="E28" s="8">
        <f>C28/D28</f>
        <v>0.1</v>
      </c>
    </row>
    <row r="29" spans="1:11" x14ac:dyDescent="0.25">
      <c r="A29" s="7" t="s">
        <v>13</v>
      </c>
      <c r="B29" s="2" t="str">
        <f>VLOOKUP(A29,'Base de Dados'!$D$2:$E$1048576,2,)</f>
        <v>Pleno</v>
      </c>
      <c r="C29" s="2">
        <v>4</v>
      </c>
      <c r="D29" s="2">
        <f>VLOOKUP(B29,'Base de Dados'!$A$2:$B$7,2,FALSE)</f>
        <v>20</v>
      </c>
      <c r="E29" s="8">
        <f t="shared" ref="E29:E36" si="4">C29/D29</f>
        <v>0.2</v>
      </c>
    </row>
    <row r="30" spans="1:11" x14ac:dyDescent="0.25">
      <c r="A30" s="7" t="s">
        <v>14</v>
      </c>
      <c r="B30" s="2" t="str">
        <f>VLOOKUP(A30,'Base de Dados'!$D$2:$E$1048576,2,)</f>
        <v>Pleno</v>
      </c>
      <c r="C30" s="2">
        <v>8</v>
      </c>
      <c r="D30" s="2">
        <f>VLOOKUP(B30,'Base de Dados'!$A$2:$B$7,2,FALSE)</f>
        <v>20</v>
      </c>
      <c r="E30" s="8">
        <f t="shared" si="4"/>
        <v>0.4</v>
      </c>
    </row>
    <row r="31" spans="1:11" x14ac:dyDescent="0.25">
      <c r="A31" s="7" t="s">
        <v>15</v>
      </c>
      <c r="B31" s="2" t="str">
        <f>VLOOKUP(A31,'Base de Dados'!$D$2:$E$1048576,2,)</f>
        <v>Junior</v>
      </c>
      <c r="C31" s="2">
        <v>16</v>
      </c>
      <c r="D31" s="2">
        <f>VLOOKUP(B31,'Base de Dados'!$A$2:$B$7,2,FALSE)</f>
        <v>15</v>
      </c>
      <c r="E31" s="8">
        <f t="shared" si="4"/>
        <v>1.0666666666666667</v>
      </c>
    </row>
    <row r="32" spans="1:11" x14ac:dyDescent="0.25">
      <c r="A32" s="7" t="s">
        <v>16</v>
      </c>
      <c r="B32" s="2" t="str">
        <f>VLOOKUP(A32,'Base de Dados'!$D$2:$E$1048576,2,)</f>
        <v>Junior</v>
      </c>
      <c r="C32" s="2">
        <v>32</v>
      </c>
      <c r="D32" s="2">
        <f>VLOOKUP(B32,'Base de Dados'!$A$2:$B$7,2,FALSE)</f>
        <v>15</v>
      </c>
      <c r="E32" s="8">
        <f t="shared" si="4"/>
        <v>2.1333333333333333</v>
      </c>
    </row>
    <row r="33" spans="1:5" x14ac:dyDescent="0.25">
      <c r="A33" s="7" t="s">
        <v>17</v>
      </c>
      <c r="B33" s="2" t="str">
        <f>VLOOKUP(A33,'Base de Dados'!$D$2:$E$1048576,2,)</f>
        <v>Especialista</v>
      </c>
      <c r="C33" s="2">
        <v>64</v>
      </c>
      <c r="D33" s="2">
        <f>VLOOKUP(B33,'Base de Dados'!$A$2:$B$7,2,FALSE)</f>
        <v>30</v>
      </c>
      <c r="E33" s="8">
        <f t="shared" si="4"/>
        <v>2.1333333333333333</v>
      </c>
    </row>
    <row r="34" spans="1:5" x14ac:dyDescent="0.25">
      <c r="A34" s="7" t="s">
        <v>18</v>
      </c>
      <c r="B34" s="2" t="str">
        <f>VLOOKUP(A34,'Base de Dados'!$D$2:$E$1048576,2,)</f>
        <v>Junior</v>
      </c>
      <c r="C34" s="2">
        <v>128</v>
      </c>
      <c r="D34" s="2">
        <f>VLOOKUP(B34,'Base de Dados'!$A$2:$B$7,2,FALSE)</f>
        <v>15</v>
      </c>
      <c r="E34" s="8">
        <f t="shared" si="4"/>
        <v>8.5333333333333332</v>
      </c>
    </row>
    <row r="35" spans="1:5" x14ac:dyDescent="0.25">
      <c r="A35" s="7" t="s">
        <v>19</v>
      </c>
      <c r="B35" s="2" t="str">
        <f>VLOOKUP(A35,'Base de Dados'!$D$2:$E$1048576,2,)</f>
        <v>Junior</v>
      </c>
      <c r="C35" s="2">
        <v>256</v>
      </c>
      <c r="D35" s="2">
        <f>VLOOKUP(B35,'Base de Dados'!$A$2:$B$7,2,FALSE)</f>
        <v>15</v>
      </c>
      <c r="E35" s="8">
        <f t="shared" si="4"/>
        <v>17.066666666666666</v>
      </c>
    </row>
    <row r="36" spans="1:5" ht="15.75" thickBot="1" x14ac:dyDescent="0.3">
      <c r="A36" s="9" t="s">
        <v>20</v>
      </c>
      <c r="B36" s="10" t="str">
        <f>VLOOKUP(A36,'Base de Dados'!$D$2:$E$1048576,2,)</f>
        <v>Junior</v>
      </c>
      <c r="C36" s="10">
        <v>512</v>
      </c>
      <c r="D36" s="10">
        <f>VLOOKUP(B36,'Base de Dados'!$A$2:$B$7,2,FALSE)</f>
        <v>15</v>
      </c>
      <c r="E36" s="11">
        <f t="shared" si="4"/>
        <v>34.133333333333333</v>
      </c>
    </row>
  </sheetData>
  <mergeCells count="6">
    <mergeCell ref="A26:E26"/>
    <mergeCell ref="A1:K1"/>
    <mergeCell ref="A2:E2"/>
    <mergeCell ref="G2:K2"/>
    <mergeCell ref="A14:E14"/>
    <mergeCell ref="G14:K14"/>
  </mergeCells>
  <conditionalFormatting sqref="K4:K12">
    <cfRule type="dataBar" priority="4">
      <dataBar>
        <cfvo type="percent" val="0"/>
        <cfvo type="percent" val="100"/>
        <color theme="8" tint="-0.249977111117893"/>
      </dataBar>
      <extLst>
        <ext xmlns:x14="http://schemas.microsoft.com/office/spreadsheetml/2009/9/main" uri="{B025F937-C7B1-47D3-B67F-A62EFF666E3E}">
          <x14:id>{416A7235-32F9-4A71-8A28-A5001E27A18C}</x14:id>
        </ext>
      </extLst>
    </cfRule>
  </conditionalFormatting>
  <conditionalFormatting sqref="E4:E12">
    <cfRule type="dataBar" priority="7">
      <dataBar>
        <cfvo type="percent" val="0"/>
        <cfvo type="percent" val="100"/>
        <color theme="8" tint="-0.249977111117893"/>
      </dataBar>
      <extLst>
        <ext xmlns:x14="http://schemas.microsoft.com/office/spreadsheetml/2009/9/main" uri="{B025F937-C7B1-47D3-B67F-A62EFF666E3E}">
          <x14:id>{D465E967-B92D-4867-A713-3AF22F01B3E7}</x14:id>
        </ext>
      </extLst>
    </cfRule>
  </conditionalFormatting>
  <conditionalFormatting sqref="E16:E24">
    <cfRule type="dataBar" priority="3">
      <dataBar>
        <cfvo type="percent" val="0"/>
        <cfvo type="percent" val="100"/>
        <color theme="8" tint="-0.249977111117893"/>
      </dataBar>
      <extLst>
        <ext xmlns:x14="http://schemas.microsoft.com/office/spreadsheetml/2009/9/main" uri="{B025F937-C7B1-47D3-B67F-A62EFF666E3E}">
          <x14:id>{27A32911-ECFE-4D26-B59A-CC38E7D11A09}</x14:id>
        </ext>
      </extLst>
    </cfRule>
  </conditionalFormatting>
  <conditionalFormatting sqref="K16:K24">
    <cfRule type="dataBar" priority="2">
      <dataBar>
        <cfvo type="percent" val="0"/>
        <cfvo type="percent" val="100"/>
        <color theme="8" tint="-0.249977111117893"/>
      </dataBar>
      <extLst>
        <ext xmlns:x14="http://schemas.microsoft.com/office/spreadsheetml/2009/9/main" uri="{B025F937-C7B1-47D3-B67F-A62EFF666E3E}">
          <x14:id>{D78D52FF-0A3C-4330-B204-A73B8DCC818F}</x14:id>
        </ext>
      </extLst>
    </cfRule>
  </conditionalFormatting>
  <conditionalFormatting sqref="E28:E36">
    <cfRule type="dataBar" priority="1">
      <dataBar>
        <cfvo type="percent" val="0"/>
        <cfvo type="percent" val="100"/>
        <color theme="8" tint="-0.249977111117893"/>
      </dataBar>
      <extLst>
        <ext xmlns:x14="http://schemas.microsoft.com/office/spreadsheetml/2009/9/main" uri="{B025F937-C7B1-47D3-B67F-A62EFF666E3E}">
          <x14:id>{BCE6CC68-2214-455F-BC2D-E56E528FA27B}</x14:id>
        </ext>
      </extLst>
    </cfRule>
  </conditionalFormatting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6A7235-32F9-4A71-8A28-A5001E27A18C}">
            <x14:dataBar minLength="0" maxLength="100" direction="leftToRight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K4:K12</xm:sqref>
        </x14:conditionalFormatting>
        <x14:conditionalFormatting xmlns:xm="http://schemas.microsoft.com/office/excel/2006/main">
          <x14:cfRule type="dataBar" id="{D465E967-B92D-4867-A713-3AF22F01B3E7}">
            <x14:dataBar minLength="0" maxLength="100" direction="leftToRight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E4:E12</xm:sqref>
        </x14:conditionalFormatting>
        <x14:conditionalFormatting xmlns:xm="http://schemas.microsoft.com/office/excel/2006/main">
          <x14:cfRule type="dataBar" id="{27A32911-ECFE-4D26-B59A-CC38E7D11A09}">
            <x14:dataBar minLength="0" maxLength="100" direction="leftToRight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E16:E24</xm:sqref>
        </x14:conditionalFormatting>
        <x14:conditionalFormatting xmlns:xm="http://schemas.microsoft.com/office/excel/2006/main">
          <x14:cfRule type="dataBar" id="{D78D52FF-0A3C-4330-B204-A73B8DCC818F}">
            <x14:dataBar minLength="0" maxLength="100" direction="leftToRight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K16:K24</xm:sqref>
        </x14:conditionalFormatting>
        <x14:conditionalFormatting xmlns:xm="http://schemas.microsoft.com/office/excel/2006/main">
          <x14:cfRule type="dataBar" id="{BCE6CC68-2214-455F-BC2D-E56E528FA27B}">
            <x14:dataBar minLength="0" maxLength="100" direction="leftToRight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E28:E36</xm:sqref>
        </x14:conditionalFormatting>
        <x14:conditionalFormatting xmlns:xm="http://schemas.microsoft.com/office/excel/2006/main">
          <x14:cfRule type="dataBar" priority="11" id="{54018FFE-4957-4EA1-A0BB-8D9E224089DD}">
            <x14:dataBar minLength="0" maxLength="100" direction="leftToRight">
              <x14:cfvo type="percent">
                <xm:f>0</xm:f>
              </x14:cfvo>
              <x14:cfvo type="percent">
                <xm:f>100</xm:f>
              </x14:cfvo>
              <x14:fillColor theme="8" tint="-0.249977111117893"/>
              <x14:negativeFillColor rgb="FFFF0000"/>
              <x14:axisColor rgb="FF000000"/>
            </x14:dataBar>
          </x14:cfRule>
          <xm:sqref>E52:E60 E88:E96 E124:E132 E160:E168 E196:E204 E232:E240 E268:E276 E304:E312 E340:E348 E376:E384 E412:E420 E448:E456 E484:E492 E520:E528 E556:E564 E592:E600 E628:E636 E664:E672 E700:E708 E736:E744 E772:E780 E808:E816 E844:E852 E880:E888 E916:E924 E952:E960 E988:E996 E1024:E1032 E1060:E1068 E1096:E1104 E1132:E1140 E1168:E1176 E1204:E1212 E1240:E1248 E1276:E1284 E1312:E1320 E1348:E1356 E1384:E1392 E1420:E1428 E1456:E1464 E1492:E1500 E1528:E1536 E1564:E1572 E1600:E1608 E1636:E1644 E1672:E1680 E1708:E1716 E1744:E1752 E1780:E1788 E1816:E1824 E1852:E1860 E1888:E1896 E1924:E1932 E1960:E1968 E1996:E2004 E2032:E2040 E2068:E2076 E2104:E2112 E2140:E2148 E2176:E2184 E2212:E2220 E2248:E2256 E2284:E2292 E2320:E2328 E2356:E2364 E2392:E2400 E2428:E2436 E2464:E2472 E2500:E2508 E2536:E2544 E2572:E2580 E2608:E2616 E2644:E2652 E2680:E2688 E2716:E2724 E2752:E2760 E2788:E2796 E2824:E2832 E2860:E2868 E2896:E2904 E2932:E2940 E2968:E2976 E3004:E3012 E3040:E3048 E3076:E3084 E3112:E3120 E3148:E3156 E3184:E3192 E3220:E3228 E3256:E3264 E3292:E3300 E3328:E3336 E3364:E3372 E3400:E3408 E3436:E3444 E3472:E3480 E3508:E3516 E3544:E3552 E3580:E3588 E3616:E3624 E3652:E3660 E3688:E3696 E3724:E3732 E3760:E3768 E3796:E3804 E3832:E3840 E3868:E3876 E3904:E3912 E3940:E3948 E3976:E3984 E4012:E4020 E4048:E4056 E4084:E4092 E4120:E4128 E4156:E4164 E4192:E4200 E4228:E4236 E4264:E4272 E4300:E4308 E4336:E4344 E4372:E4380 E4408:E4416 E4444:E4452 E4480:E4488 E4516:E4524 E4552:E4560 E4588:E4596 E4624:E4632 E4660:E4668 E4696:E4704 E4732:E4740 E4768:E4776 E4804:E4812 E4840:E4848 E4876:E4884 E4912:E4920 E4948:E4956 E4984:E4992 E5020:E5028 E5056:E5064 E5092:E5100 E5128:E5136 E5164:E5172 E5200:E5208 E5236:E5244 E5272:E5280 E5308:E5316 E5344:E5352 E5380:E5388 E5416:E5424 E5452:E5460 E5488:E5496 E5524:E5532 E5560:E5568 E5596:E5604 E5632:E5640 E5668:E5676 E5704:E5712 E5740:E5748 E5776:E5784 E5812:E5820 E5848:E5856 E5884:E5892 E5920:E5928 E5956:E5964 E5992:E6000 E6028:E6036 E6064:E6072 E6100:E6108 E6136:E6144 E6172:E6180 E6208:E6216 E6244:E6252 E6280:E6288 E6316:E6324 E6352:E6360 E6388:E6396 E6424:E6432 E6460:E6468 E6496:E6504 E6532:E6540 E6568:E6576 E6604:E6612 E6640:E6648 E6676:E6684 E6712:E6720 E6748:E6756 E6784:E6792 E6820:E6828 E6856:E6864 E6892:E6900 E6928:E6936 E6964:E6972 E7000:E7008 E7036:E7044 E7072:E7080 E7108:E7116 E7144:E7152 E7180:E7188 E7216:E7224 E7252:E7260 E7288:E7296 E7324:E7332 E7360:E7368 E7396:E7404 E7432:E7440 E7468:E7476 E7504:E7512 E7540:E7548 E7576:E7584 E7612:E7620 E7648:E7656 E7684:E7692 E7720:E7728 E7756:E7764 E7792:E7800 E7828:E7836 E7864:E7872 E7900:E7908 E7936:E7944 E7972:E7980 E8008:E8016 E8044:E8052 E8080:E8088 E8116:E8124 E8152:E8160 E8188:E8196 E8224:E8232 E8260:E8268 E8296:E8304 E8332:E8340 E8368:E8376 E8404:E8412 E8440:E8448 E8476:E8484 E8512:E8520 E8548:E8556 E8584:E8592 E8620:E8628 E8656:E8664 E8692:E8700 E8728:E8736 E8764:E8772 E8800:E8808 E8836:E8844 E8872:E8880 E8908:E8916 E8944:E8952 E8980:E8988 E9016:E9024 E9052:E9060 E9088:E9096 E9124:E9132 E9160:E9168 E9196:E9204 E9232:E9240 E9268:E9276 E9304:E9312 E9340:E9348 E9376:E9384 E9412:E9420 E9448:E9456 E9484:E9492 E9520:E9528 E9556:E9564 E9592:E9600 E9628:E9636 E9664:E9672 E9700:E9708 E9736:E9744 E9772:E9780 E9808:E9816 E9844:E9852 E9880:E9888 E9916:E9924 E9952:E9960 E9988:E9996 E10024:E10032 E10060:E10068 E10096:E10104 E10132:E10140 E10168:E10176 E10204:E10212 E10240:E10248 E10276:E10284 E10312:E10320 E10348:E10356 E10384:E10392 E10420:E10428 E10456:E10464 E10492:E10500 E10528:E10536 E10564:E10572 E10600:E10608 E10636:E10644 E10672:E10680 E10708:E10716 E10744:E10752 E10780:E10788 E10816:E10824 E10852:E10860 E10888:E10896 E10924:E10932 E10960:E10968 E10996:E11004 E11032:E11040 E11068:E11076 E11104:E11112 E11140:E11148 E11176:E11184 E11212:E11220 E11248:E11256 E11284:E11292 E11320:E11328 E11356:E11364 E11392:E11400 E11428:E11436 E11464:E11472 E11500:E11508 E11536:E11544 E11572:E11580 E11608:E11616 E11644:E11652 E11680:E11688 E11716:E11724 E11752:E11760 E11788:E11796 E11824:E11832 E11860:E11868 E11896:E11904 E11932:E11940 E11968:E11976 E12004:E12012 E12040:E12048 E12076:E12084 E12112:E12120 E12148:E12156 E12184:E12192 E12220:E12228 E12256:E12264 E12292:E12300 E12328:E12336 E12364:E12372 E12400:E12408 E12436:E12444 E12472:E12480 E12508:E12516 E12544:E12552 E12580:E12588 E12616:E12624 E12652:E12660 E12688:E12696 E12724:E12732 E12760:E12768 E12796:E12804 E12832:E12840 E12868:E12876 E12904:E12912 E12940:E12948 E12976:E12984 E13012:E13020 E13048:E13056 E13084:E13092 E13120:E13128 E13156:E13164 E13192:E13200 E13228:E13236 E13264:E13272 E13300:E13308 E13336:E13344 E13372:E13380 E13408:E13416 E13444:E13452 E13480:E13488 E13516:E13524 E13552:E13560 E13588:E13596 E13624:E13632 E13660:E13668 E13696:E13704 E13732:E13740 E13768:E13776 E13804:E13812 E13840:E13848 E13876:E13884 E13912:E13920 E13948:E13956 E13984:E13992 E14020:E14028 E14056:E14064 E14092:E14100 E14128:E14136 E14164:E14172 E14200:E14208 E14236:E14244 E14272:E14280 E14308:E14316 E14344:E14352 E14380:E14388 E14416:E14424 E14452:E14460 E14488:E14496 E14524:E14532 E14560:E14568 E14596:E14604 E14632:E14640 E14668:E14676 E14704:E14712 E14740:E14748 E14776:E14784 E14812:E14820 E14848:E14856 E14884:E14892 E14920:E14928 E14956:E14964 E14992:E15000 E15028:E15036 E15064:E15072 E15100:E15108 E15136:E15144 E15172:E15180 E15208:E15216 E15244:E15252 E15280:E15288 E15316:E15324 E15352:E15360 E15388:E15396 E15424:E15432 E15460:E15468 E15496:E15504 E15532:E15540 E15568:E15576 E15604:E15612 E15640:E15648 E15676:E15684 E15712:E15720 E15748:E15756 E15784:E15792 E15820:E15828 E15856:E15864 E15892:E15900 E15928:E15936 E15964:E15972 E16000:E16008 E16036:E16044 E16072:E16080 E16108:E16116 E16144:E16152 E16180:E16188 E16216:E16224 E16252:E16260 E16288:E16296 E16324:E16332 E16360:E16368 E16396:E16404 E16432:E16440 E16468:E16476 E16504:E16512 E16540:E16548 E16576:E16584 E16612:E16620 E16648:E16656 E16684:E16692 E16720:E16728 E16756:E16764 E16792:E16800 E16828:E16836 E16864:E16872 E16900:E16908 E16936:E16944 E16972:E16980 E17008:E17016 E17044:E17052 E17080:E17088 E17116:E17124 E17152:E17160 E17188:E17196 E17224:E17232 E17260:E17268 E17296:E17304 E17332:E17340 E17368:E17376 E17404:E17412 E17440:E17448 E17476:E17484 E17512:E17520 E17548:E17556 E17584:E17592 E17620:E17628 E17656:E17664 E17692:E17700 E17728:E17736 E17764:E17772 E17800:E17808 E17836:E17844 E17872:E17880 E17908:E17916 E17944:E17952 E17980:E17988 E18016:E18024 E18052:E18060 E18088:E18096 E18124:E18132 E18160:E18168 E18196:E18204 E18232:E18240 E18268:E18276 E18304:E18312 E18340:E18348 E18376:E18384 E18412:E18420 E18448:E18456 E18484:E18492 E18520:E18528 E18556:E18564 E18592:E18600 E18628:E18636 E18664:E18672 E18700:E18708 E18736:E18744 E18772:E18780 E18808:E18816 E18844:E18852 E18880:E18888 E18916:E18924 E18952:E18960 E18988:E18996 E19024:E19032 E19060:E19068 E19096:E19104 E19132:E19140 E19168:E19176 E19204:E19212 E19240:E19248 E19276:E19284 E19312:E19320 E19348:E19356 E19384:E19392 E19420:E19428 E19456:E19464 E19492:E19500 E19528:E19536 E19564:E19572 E19600:E19608 E19636:E19644 E19672:E19680 E19708:E19716 E19744:E19752 E19780:E19788 E19816:E19824 E19852:E19860 E19888:E19896 E19924:E19932 E19960:E19968 E19996:E20004 E20032:E20040 E20068:E20076 E20104:E20112 E20140:E20148 E20176:E20184 E20212:E20220 E20248:E20256 E20284:E20292 E20320:E20328 E20356:E20364 E20392:E20400 E20428:E20436 E20464:E20472 E20500:E20508 E20536:E20544 E20572:E20580 E20608:E20616 E20644:E20652 E20680:E20688 E20716:E20724 E20752:E20760 E20788:E20796 E20824:E20832 E20860:E20868 E20896:E20904 E20932:E20940 E20968:E20976 E21004:E21012 E21040:E21048 E21076:E21084 E21112:E21120 E21148:E21156 E21184:E21192 E21220:E21228 E21256:E21264 E21292:E21300 E21328:E21336 E21364:E21372 E21400:E21408 E21436:E21444 E21472:E21480 E21508:E21516 E21544:E21552 E21580:E21588 E21616:E21624 E21652:E21660 E21688:E21696 E21724:E21732 E21760:E21768 E21796:E21804 E21832:E21840 E21868:E21876 E21904:E21912 E21940:E21948 E21976:E21984 E22012:E22020 E22048:E22056 E22084:E22092 E22120:E22128 E22156:E22164 E22192:E22200 E22228:E22236 E22264:E22272 E22300:E22308 E22336:E22344 E22372:E22380 E22408:E22416 E22444:E22452 E22480:E22488 E22516:E22524 E22552:E22560 E22588:E22596 E22624:E22632 E22660:E22668 E22696:E22704 E22732:E22740 E22768:E22776 E22804:E22812 E22840:E22848 E22876:E22884 E22912:E22920 E22948:E22956 E22984:E22992 E23020:E23028 E23056:E23064 E23092:E23100 E23128:E23136 E23164:E23172 E23200:E23208 E23236:E23244 E23272:E23280 E23308:E23316 E23344:E23352 E23380:E23388 E23416:E23424 E23452:E23460 E23488:E23496 E23524:E23532 E23560:E23568 E23596:E23604 E23632:E23640 E23668:E23676 E23704:E23712 E23740:E23748 E23776:E23784 E23812:E23820 E23848:E23856 E23884:E23892 E23920:E23928 E23956:E23964 E23992:E24000 E24028:E24036 E24064:E24072 E24100:E24108 E24136:E24144 E24172:E24180 E24208:E24216 E24244:E24252 E24280:E24288 E24316:E24324 E24352:E24360 E24388:E24396 E24424:E24432 E24460:E24468 E24496:E24504 E24532:E24540 E24568:E24576 E24604:E24612 E24640:E24648 E24676:E24684 E24712:E24720 E24748:E24756 E24784:E24792 E24820:E24828 E24856:E24864 E24892:E24900 E24928:E24936 E24964:E24972 E25000:E25008 E25036:E25044 E25072:E25080 E25108:E25116 E25144:E25152 E25180:E25188 E25216:E25224 E25252:E25260 E25288:E25296 E25324:E25332 E25360:E25368 E25396:E25404 E25432:E25440 E25468:E25476 E25504:E25512 E25540:E25548 E25576:E25584 E25612:E25620 E25648:E25656 E25684:E25692 E25720:E25728 E25756:E25764 E25792:E25800 E25828:E25836 E25864:E25872 E25900:E25908 E25936:E25944 E25972:E25980 E26008:E26016 E26044:E26052 E26080:E26088 E26116:E26124 E26152:E26160 E26188:E26196 E26224:E26232 E26260:E26268 E26296:E26304 E26332:E26340 E26368:E26376 E26404:E26412 E26440:E26448 E26476:E26484 E26512:E26520 E26548:E26556 E26584:E26592 E26620:E26628 E26656:E26664 E26692:E26700 E26728:E26736 E26764:E26772 E26800:E26808 E26836:E26844 E26872:E26880 E26908:E26916 E26944:E26952 E26980:E26988 E27016:E27024 E27052:E27060 E27088:E27096 E27124:E27132 E27160:E27168 E27196:E27204 E27232:E27240 E27268:E27276 E27304:E27312 E27340:E27348 E27376:E27384 E27412:E27420 E27448:E27456 E27484:E27492 E27520:E27528 E27556:E27564 E27592:E27600 E27628:E27636 E27664:E27672 E27700:E27708 E27736:E27744 E27772:E27780 E27808:E27816 E27844:E27852 E27880:E27888 E27916:E27924 E27952:E27960 E27988:E27996 E28024:E28032 E28060:E28068 E28096:E28104 E28132:E28140 E28168:E28176 E28204:E28212 E28240:E28248 E28276:E28284 E28312:E28320 E28348:E28356 E28384:E28392 E28420:E28428 E28456:E28464 E28492:E28500 E28528:E28536 E28564:E28572 E28600:E28608 E28636:E28644 E28672:E28680 E28708:E28716 E28744:E28752 E28780:E28788 E28816:E28824 E28852:E28860 E28888:E28896 E28924:E28932 E28960:E28968 E28996:E29004 E29032:E29040 E29068:E29076 E29104:E29112 E29140:E29148 E29176:E29184 E29212:E29220 E29248:E29256 E29284:E29292 E29320:E29328 E29356:E29364 E29392:E29400 E29428:E29436 E29464:E29472 E29500:E29508 E29536:E29544 E29572:E29580 E29608:E29616 E29644:E29652 E29680:E29688 E29716:E29724 E29752:E29760 E29788:E29796 E29824:E29832 E29860:E29868 E29896:E29904 E29932:E29940 E29968:E29976 E30004:E30012 E30040:E30048 E30076:E30084 E30112:E30120 E30148:E30156 E30184:E30192 E30220:E30228 E30256:E30264 E30292:E30300 E30328:E30336 E30364:E30372 E30400:E30408 E30436:E30444 E30472:E30480 E30508:E30516 E30544:E30552 E30580:E30588 E30616:E30624 E30652:E30660 E30688:E30696 E30724:E30732 E30760:E30768 E30796:E30804 E30832:E30840 E30868:E30876 E30904:E30912 E30940:E30948 E30976:E30984 E31012:E31020 E31048:E31056 E31084:E31092 E31120:E31128 E31156:E31164 E31192:E31200 E31228:E31236 E31264:E31272 E31300:E31308 E31336:E31344 E31372:E31380 E31408:E31416 E31444:E31452 E31480:E31488 E31516:E31524 E31552:E31560 E31588:E31596 E31624:E31632 E31660:E31668 E31696:E31704 E31732:E31740 E31768:E31776 E31804:E31812 E31840:E31848 E31876:E31884 E31912:E31920 E31948:E31956 E31984:E31992 E32020:E32028 E32056:E32064 E32092:E32100 E32128:E32136 E32164:E32172 E32200:E32208 E32236:E32244 E32272:E32280 E32308:E32316 E32344:E32352 E32380:E32388 E32416:E32424 E32452:E32460 E32488:E32496 E32524:E32532 E32560:E32568 E32596:E32604 E32632:E32640 E32668:E32676 E32704:E32712 E32740:E32748 E32776:E32784 E32812:E32820 E32848:E32856 E32884:E32892 E32920:E32928 E32956:E32964 E32992:E33000 E33028:E33036 E33064:E33072 E33100:E33108 E33136:E33144 E33172:E33180 E33208:E33216 E33244:E33252 E33280:E33288 E33316:E33324 E33352:E33360 E33388:E33396 E33424:E33432 E33460:E33468 E33496:E33504 E33532:E33540 E33568:E33576 E33604:E33612 E33640:E33648 E33676:E33684 E33712:E33720 E33748:E33756 E33784:E33792 E33820:E33828 E33856:E33864 E33892:E33900 E33928:E33936 E33964:E33972 E34000:E34008 E34036:E34044 E34072:E34080 E34108:E34116 E34144:E34152 E34180:E34188 E34216:E34224 E34252:E34260 E34288:E34296 E34324:E34332 E34360:E34368 E34396:E34404 E34432:E34440 E34468:E34476 E34504:E34512 E34540:E34548 E34576:E34584 E34612:E34620 E34648:E34656 E34684:E34692 E34720:E34728 E34756:E34764 E34792:E34800 E34828:E34836 E34864:E34872 E34900:E34908 E34936:E34944 E34972:E34980 E35008:E35016 E35044:E35052 E35080:E35088 E35116:E35124 E35152:E35160 E35188:E35196 E35224:E35232 E35260:E35268 E35296:E35304 E35332:E35340 E35368:E35376 E35404:E35412 E35440:E35448 E35476:E35484 E35512:E35520 E35548:E35556 E35584:E35592 E35620:E35628 E35656:E35664 E35692:E35700 E35728:E35736 E35764:E35772 E35800:E35808 E35836:E35844 E35872:E35880 E35908:E35916 E35944:E35952 E35980:E35988 E36016:E36024 E36052:E36060 E36088:E36096 E36124:E36132 E36160:E36168 E36196:E36204 E36232:E36240 E36268:E36276 E36304:E36312 E36340:E36348 E36376:E36384 E36412:E36420 E36448:E36456 E36484:E36492 E36520:E36528 E36556:E36564 E36592:E36600 E36628:E36636 E36664:E36672 E36700:E36708 E36736:E36744 E36772:E36780 E36808:E36816 E36844:E36852 E36880:E36888 E36916:E36924 E36952:E36960 E36988:E36996 E37024:E37032 E37060:E37068 E37096:E37104 E37132:E37140 E37168:E37176 E37204:E37212 E37240:E37248 E37276:E37284 E37312:E37320 E37348:E37356 E37384:E37392 E37420:E37428 E37456:E37464 E37492:E37500 E37528:E37536 E37564:E37572 E37600:E37608 E37636:E37644 E37672:E37680 E37708:E37716 E37744:E37752 E37780:E37788 E37816:E37824 E37852:E37860 E37888:E37896 E37924:E37932 E37960:E37968 E37996:E38004 E38032:E38040 E38068:E38076 E38104:E38112 E38140:E38148 E38176:E38184 E38212:E38220 E38248:E38256 E38284:E38292 E38320:E38328 E38356:E38364 E38392:E38400 E38428:E38436 E38464:E38472 E38500:E38508 E38536:E38544 E38572:E38580 E38608:E38616 E38644:E38652 E38680:E38688 E38716:E38724 E38752:E38760 E38788:E38796 E38824:E38832 E38860:E38868 E38896:E38904 E38932:E38940 E38968:E38976 E39004:E39012 E39040:E39048 E39076:E39084 E39112:E39120 E39148:E39156 E39184:E39192 E39220:E39228 E39256:E39264 E39292:E39300 E39328:E39336 E39364:E39372 E39400:E39408 E39436:E39444 E39472:E39480 E39508:E39516 E39544:E39552 E39580:E39588 E39616:E39624 E39652:E39660 E39688:E39696 E39724:E39732 E39760:E39768 E39796:E39804 E39832:E39840 E39868:E39876 E39904:E39912 E39940:E39948 E39976:E39984 E40012:E40020 E40048:E40056 E40084:E40092 E40120:E40128 E40156:E40164 E40192:E40200 E40228:E40236 E40264:E40272 E40300:E40308 E40336:E40344 E40372:E40380 E40408:E40416 E40444:E40452 E40480:E40488 E40516:E40524 E40552:E40560 E40588:E40596 E40624:E40632 E40660:E40668 E40696:E40704 E40732:E40740 E40768:E40776 E40804:E40812 E40840:E40848 E40876:E40884 E40912:E40920 E40948:E40956 E40984:E40992 E41020:E41028 E41056:E41064 E41092:E41100 E41128:E41136 E41164:E41172 E41200:E41208 E41236:E41244 E41272:E41280 E41308:E41316 E41344:E41352 E41380:E41388 E41416:E41424 E41452:E41460 E41488:E41496 E41524:E41532 E41560:E41568 E41596:E41604 E41632:E41640 E41668:E41676 E41704:E41712 E41740:E41748 E41776:E41784 E41812:E41820 E41848:E41856 E41884:E41892 E41920:E41928 E41956:E41964 E41992:E42000 E42028:E42036 E42064:E42072 E42100:E42108 E42136:E42144 E42172:E42180 E42208:E42216 E42244:E42252 E42280:E42288 E42316:E42324 E42352:E42360 E42388:E42396 E42424:E42432 E42460:E42468 E42496:E42504 E42532:E42540 E42568:E42576 E42604:E42612 E42640:E42648 E42676:E42684 E42712:E42720 E42748:E42756 E42784:E42792 E42820:E42828 E42856:E42864 E42892:E42900 E42928:E42936 E42964:E42972 E43000:E43008 E43036:E43044 E43072:E43080 E43108:E43116 E43144:E43152 E43180:E43188 E43216:E43224 E43252:E43260 E43288:E43296 E43324:E43332 E43360:E43368 E43396:E43404 E43432:E43440 E43468:E43476 E43504:E43512 E43540:E43548 E43576:E43584 E43612:E43620 E43648:E43656 E43684:E43692 E43720:E43728 E43756:E43764 E43792:E43800 E43828:E43836 E43864:E43872 E43900:E43908 E43936:E43944 E43972:E43980 E44008:E44016 E44044:E44052 E44080:E44088 E44116:E44124 E44152:E44160 E44188:E44196 E44224:E44232 E44260:E44268 E44296:E44304 E44332:E44340 E44368:E44376 E44404:E44412 E44440:E44448 E44476:E44484 E44512:E44520 E44548:E44556 E44584:E44592 E44620:E44628 E44656:E44664 E44692:E44700 E44728:E44736 E44764:E44772 E44800:E44808 E44836:E44844 E44872:E44880 E44908:E44916 E44944:E44952 E44980:E44988 E45016:E45024 E45052:E45060 E45088:E45096 E45124:E45132 E45160:E45168 E45196:E45204 E45232:E45240 E45268:E45276 E45304:E45312 E45340:E45348 E45376:E45384 E45412:E45420 E45448:E45456 E45484:E45492 E45520:E45528 E45556:E45564 E45592:E45600 E45628:E45636 E45664:E45672 E45700:E45708 E45736:E45744 E45772:E45780 E45808:E45816 E45844:E45852 E45880:E45888 E45916:E45924 E45952:E45960 E45988:E45996 E46024:E46032 E46060:E46068 E46096:E46104 E46132:E46140 E46168:E46176 E46204:E46212 E46240:E46248 E46276:E46284 E46312:E46320 E46348:E46356 E46384:E46392 E46420:E46428 E46456:E46464 E46492:E46500 E46528:E46536 E46564:E46572 E46600:E46608 E46636:E46644 E46672:E46680 E46708:E46716 E46744:E46752 E46780:E46788 E46816:E46824 E46852:E46860 E46888:E46896 E46924:E46932 E46960:E46968 E46996:E47004 E47032:E47040 E47068:E47076 E47104:E47112 E47140:E47148 E47176:E47184 E47212:E47220 E47248:E47256 E47284:E47292 E47320:E47328 E47356:E47364 E47392:E47400 E47428:E47436 E47464:E47472 E47500:E47508 E47536:E47544 E47572:E47580 E47608:E47616 E47644:E47652 E47680:E47688 E47716:E47724 E47752:E47760 E47788:E47796 E47824:E47832 E47860:E47868 E47896:E47904 E47932:E47940 E47968:E47976 E48004:E48012 E48040:E48048 E48076:E48084 E48112:E48120 E48148:E48156 E48184:E48192 E48220:E48228 E48256:E48264 E48292:E48300 E48328:E48336 E48364:E48372 E48400:E48408 E48436:E48444 E48472:E48480 E48508:E48516 E48544:E48552 E48580:E48588 E48616:E48624 E48652:E48660 E48688:E48696 E48724:E48732 E48760:E48768 E48796:E48804 E48832:E48840 E48868:E48876 E48904:E48912 E48940:E48948 E48976:E48984 E49012:E49020 E49048:E49056 E49084:E49092 E49120:E49128 E49156:E49164 E49192:E49200 E49228:E49236 E49264:E49272 E49300:E49308 E49336:E49344 E49372:E49380 E49408:E49416 E49444:E49452 E49480:E49488 E49516:E49524 E49552:E49560 E49588:E49596 E49624:E49632 E49660:E49668 E49696:E49704 E49732:E49740 E49768:E49776 E49804:E49812 E49840:E49848 E49876:E49884 E49912:E49920 E49948:E49956 E49984:E49992 E50020:E50028 E50056:E50064 E50092:E50100 E50128:E50136 E50164:E50172 E50200:E50208 E50236:E50244 E50272:E50280 E50308:E50316 E50344:E50352 E50380:E50388 E50416:E50424 E50452:E50460 E50488:E50496 E50524:E50532 E50560:E50568 E50596:E50604 E50632:E50640 E50668:E50676 E50704:E50712 E50740:E50748 E50776:E50784 E50812:E50820 E50848:E50856 E50884:E50892 E50920:E50928 E50956:E50964 E50992:E51000 E51028:E51036 E51064:E51072 E51100:E51108 E51136:E51144 E51172:E51180 E51208:E51216 E51244:E51252 E51280:E51288 E51316:E51324 E51352:E51360 E51388:E51396 E51424:E51432 E51460:E51468 E51496:E51504 E51532:E51540 E51568:E51576 E51604:E51612 E51640:E51648 E51676:E51684 E51712:E51720 E51748:E51756 E51784:E51792 E51820:E51828 E51856:E51864 E51892:E51900 E51928:E51936 E51964:E51972 E52000:E52008 E52036:E52044 E52072:E52080 E52108:E52116 E52144:E52152 E52180:E52188 E52216:E52224 E52252:E52260 E52288:E52296 E52324:E52332 E52360:E52368 E52396:E52404 E52432:E52440 E52468:E52476 E52504:E52512 E52540:E52548 E52576:E52584 E52612:E52620 E52648:E52656 E52684:E52692 E52720:E52728 E52756:E52764 E52792:E52800 E52828:E52836 E52864:E52872 E52900:E52908 E52936:E52944 E52972:E52980 E53008:E53016 E53044:E53052 E53080:E53088 E53116:E53124 E53152:E53160 E53188:E53196 E53224:E53232 E53260:E53268 E53296:E53304 E53332:E53340 E53368:E53376 E53404:E53412 E53440:E53448 E53476:E53484 E53512:E53520 E53548:E53556 E53584:E53592 E53620:E53628 E53656:E53664 E53692:E53700 E53728:E53736 E53764:E53772 E53800:E53808 E53836:E53844 E53872:E53880 E53908:E53916 E53944:E53952 E53980:E53988 E54016:E54024 E54052:E54060 E54088:E54096 E54124:E54132 E54160:E54168 E54196:E54204 E54232:E54240 E54268:E54276 E54304:E54312 E54340:E54348 E54376:E54384 E54412:E54420 E54448:E54456 E54484:E54492 E54520:E54528 E54556:E54564 E54592:E54600 E54628:E54636 E54664:E54672 E54700:E54708 E54736:E54744 E54772:E54780 E54808:E54816 E54844:E54852 E54880:E54888 E54916:E54924 E54952:E54960 E54988:E54996 E55024:E55032 E55060:E55068 E55096:E55104 E55132:E55140 E55168:E55176 E55204:E55212 E55240:E55248 E55276:E55284 E55312:E55320 E55348:E55356 E55384:E55392 E55420:E55428 E55456:E55464 E55492:E55500 E55528:E55536 E55564:E55572 E55600:E55608 E55636:E55644 E55672:E55680 E55708:E55716 E55744:E55752 E55780:E55788 E55816:E55824 E55852:E55860 E55888:E55896 E55924:E55932 E55960:E55968 E55996:E56004 E56032:E56040 E56068:E56076 E56104:E56112 E56140:E56148 E56176:E56184 E56212:E56220 E56248:E56256 E56284:E56292 E56320:E56328 E56356:E56364 E56392:E56400 E56428:E56436 E56464:E56472 E56500:E56508 E56536:E56544 E56572:E56580 E56608:E56616 E56644:E56652 E56680:E56688 E56716:E56724 E56752:E56760 E56788:E56796 E56824:E56832 E56860:E56868 E56896:E56904 E56932:E56940 E56968:E56976 E57004:E57012 E57040:E57048 E57076:E57084 E57112:E57120 E57148:E57156 E57184:E57192 E57220:E57228 E57256:E57264 E57292:E57300 E57328:E57336 E57364:E57372 E57400:E57408 E57436:E57444 E57472:E57480 E57508:E57516 E57544:E57552 E57580:E57588 E57616:E57624 E57652:E57660 E57688:E57696 E57724:E57732 E57760:E57768 E57796:E57804 E57832:E57840 E57868:E57876 E57904:E57912 E57940:E57948 E57976:E57984 E58012:E58020 E58048:E58056 E58084:E58092 E58120:E58128 E58156:E58164 E58192:E58200 E58228:E58236 E58264:E58272 E58300:E58308 E58336:E58344 E58372:E58380 E58408:E58416 E58444:E58452 E58480:E58488 E58516:E58524 E58552:E58560 E58588:E58596 E58624:E58632 E58660:E58668 E58696:E58704 E58732:E58740 E58768:E58776 E58804:E58812 E58840:E58848 E58876:E58884 E58912:E58920 E58948:E58956 E58984:E58992 E59020:E59028 E59056:E59064 E59092:E59100 E59128:E59136 E59164:E59172 E59200:E59208 E59236:E59244 E59272:E59280 E59308:E59316 E59344:E59352 E59380:E59388 E59416:E59424 E59452:E59460 E59488:E59496 E59524:E59532 E59560:E59568 E59596:E59604 E59632:E59640 E59668:E59676 E59704:E59712 E59740:E59748 E59776:E59784 E59812:E59820 E59848:E59856 E59884:E59892 E59920:E59928 E59956:E59964 E59992:E60000 E60028:E60036 E60064:E60072 E60100:E60108 E60136:E60144 E60172:E60180 E60208:E60216 E60244:E60252 E60280:E60288 E60316:E60324 E60352:E60360 E60388:E60396 E60424:E60432 E60460:E60468 E60496:E60504 E60532:E60540 E60568:E60576 E60604:E60612 E60640:E60648 E60676:E60684 E60712:E60720 E60748:E60756 E60784:E60792 E60820:E60828 E60856:E60864 E60892:E60900 E60928:E60936 E60964:E60972 E61000:E61008 E61036:E61044 E61072:E61080 E61108:E61116 E61144:E61152 E61180:E61188 E61216:E61224 E61252:E61260 E61288:E61296 E61324:E61332 E61360:E61368 E61396:E61404 E61432:E61440 E61468:E61476 E61504:E61512 E61540:E61548 E61576:E61584 E61612:E61620 E61648:E61656 E61684:E61692 E61720:E61728 E61756:E61764 E61792:E61800 E61828:E61836 E61864:E61872 E61900:E61908 E61936:E61944 E61972:E61980 E62008:E62016 E62044:E62052 E62080:E62088 E62116:E62124 E62152:E62160 E62188:E62196 E62224:E62232 E62260:E62268 E62296:E62304 E62332:E62340 E62368:E62376 E62404:E62412 E62440:E62448 E62476:E62484 E62512:E62520 E62548:E62556 E62584:E62592 E62620:E62628 E62656:E62664 E62692:E62700 E62728:E62736 E62764:E62772 E62800:E62808 E62836:E62844 E62872:E62880 E62908:E62916 E62944:E62952 E62980:E62988 E63016:E63024 E63052:E63060 E63088:E63096 E63124:E63132 E63160:E63168 E63196:E63204 E63232:E63240 E63268:E63276 E63304:E63312 E63340:E63348 E63376:E63384 E63412:E63420 E63448:E63456 E63484:E63492 E63520:E63528 E63556:E63564 E63592:E63600 E63628:E63636 E63664:E63672 E63700:E63708 E63736:E63744 E63772:E63780 E63808:E63816 E63844:E63852 E63880:E63888 E63916:E63924 E63952:E63960 E63988:E63996 E64024:E64032 E64060:E64068 E64096:E64104 E64132:E64140 E64168:E64176 E64204:E64212 E64240:E64248 E64276:E64284 E64312:E64320 E64348:E64356 E64384:E64392 E64420:E64428 E64456:E64464 E64492:E64500 E64528:E64536 E64564:E64572 E64600:E64608 E64636:E64644 E64672:E64680 E64708:E64716 E64744:E64752 E64780:E64788 E64816:E64824 E64852:E64860 E64888:E64896 E64924:E64932 E64960:E64968 E64996:E65004 E65032:E65040 E65068:E65076 E65104:E65112 E65140:E65148 E65176:E65184 E65212:E65220 E65248:E65256 E65284:E65292 E65320:E65328 E65356:E65364 E65392:E65400 E65428:E65436 E65464:E65472 E65500:E65508 E65536:E65544 E65572:E65580 E65608:E65616 E65644:E65652 E65680:E65688 E65716:E65724 E65752:E65760 E65788:E65796 E65824:E65832 E65860:E65868 E65896:E65904 E65932:E65940 E65968:E65976 E66004:E66012 E66040:E66048 E66076:E66084 E66112:E66120 E66148:E66156 E66184:E66192 E66220:E66228 E66256:E66264 E66292:E66300 E66328:E66336 E66364:E66372 E66400:E66408 E66436:E66444 E66472:E66480 E66508:E66516 E66544:E66552 E66580:E66588 E66616:E66624 E66652:E66660 E66688:E66696 E66724:E66732 E66760:E66768 E66796:E66804 E66832:E66840 E66868:E66876 E66904:E66912 E66940:E66948 E66976:E66984 E67012:E67020 E67048:E67056 E67084:E67092 E67120:E67128 E67156:E67164 E67192:E67200 E67228:E67236 E67264:E67272 E67300:E67308 E67336:E67344 E67372:E67380 E67408:E67416 E67444:E67452 E67480:E67488 E67516:E67524 E67552:E67560 E67588:E67596 E67624:E67632 E67660:E67668 E67696:E67704 E67732:E67740 E67768:E67776 E67804:E67812 E67840:E67848 E67876:E67884 E67912:E67920 E67948:E67956 E67984:E67992 E68020:E68028 E68056:E68064 E68092:E68100 E68128:E68136 E68164:E68172 E68200:E68208 E68236:E68244 E68272:E68280 E68308:E68316 E68344:E68352 E68380:E68388 E68416:E68424 E68452:E68460 E68488:E68496 E68524:E68532 E68560:E68568 E68596:E68604 E68632:E68640 E68668:E68676 E68704:E68712 E68740:E68748 E68776:E68784 E68812:E68820 E68848:E68856 E68884:E68892 E68920:E68928 E68956:E68964 E68992:E69000 E69028:E69036 E69064:E69072 E69100:E69108 E69136:E69144 E69172:E69180 E69208:E69216 E69244:E69252 E69280:E69288 E69316:E69324 E69352:E69360 E69388:E69396 E69424:E69432 E69460:E69468 E69496:E69504 E69532:E69540 E69568:E69576 E69604:E69612 E69640:E69648 E69676:E69684 E69712:E69720 E69748:E69756 E69784:E69792 E69820:E69828 E69856:E69864 E69892:E69900 E69928:E69936 E69964:E69972 E70000:E70008 E70036:E70044 E70072:E70080 E70108:E70116 E70144:E70152 E70180:E70188 E70216:E70224 E70252:E70260 E70288:E70296 E70324:E70332 E70360:E70368 E70396:E70404 E70432:E70440 E70468:E70476 E70504:E70512 E70540:E70548 E70576:E70584 E70612:E70620 E70648:E70656 E70684:E70692 E70720:E70728 E70756:E70764 E70792:E70800 E70828:E70836 E70864:E70872 E70900:E70908 E70936:E70944 E70972:E70980 E71008:E71016 E71044:E71052 E71080:E71088 E71116:E71124 E71152:E71160 E71188:E71196 E71224:E71232 E71260:E71268 E71296:E71304 E71332:E71340 E71368:E71376 E71404:E71412 E71440:E71448 E71476:E71484 E71512:E71520 E71548:E71556 E71584:E71592 E71620:E71628 E71656:E71664 E71692:E71700 E71728:E71736 E71764:E71772 E71800:E71808 E71836:E71844 E71872:E71880 E71908:E71916 E71944:E71952 E71980:E71988 E72016:E72024 E72052:E72060 E72088:E72096 E72124:E72132 E72160:E72168 E72196:E72204 E72232:E72240 E72268:E72276 E72304:E72312 E72340:E72348 E72376:E72384 E72412:E72420 E72448:E72456 E72484:E72492 E72520:E72528 E72556:E72564 E72592:E72600 E72628:E72636 E72664:E72672 E72700:E72708 E72736:E72744 E72772:E72780 E72808:E72816 E72844:E72852 E72880:E72888 E72916:E72924 E72952:E72960 E72988:E72996 E73024:E73032 E73060:E73068 E73096:E73104 E73132:E73140 E73168:E73176 E73204:E73212 E73240:E73248 E73276:E73284 E73312:E73320 E73348:E73356 E73384:E73392 E73420:E73428 E73456:E73464 E73492:E73500 E73528:E73536 E73564:E73572 E73600:E73608 E73636:E73644 E73672:E73680 E73708:E73716 E73744:E73752 E73780:E73788 E73816:E73824 E73852:E73860 E73888:E73896 E73924:E73932 E73960:E73968 E73996:E74004 E74032:E74040 E74068:E74076 E74104:E74112 E74140:E74148 E74176:E74184 E74212:E74220 E74248:E74256 E74284:E74292 E74320:E74328 E74356:E74364 E74392:E74400 E74428:E74436 E74464:E74472 E74500:E74508 E74536:E74544 E74572:E74580 E74608:E74616 E74644:E74652 E74680:E74688 E74716:E74724 E74752:E74760 E74788:E74796 E74824:E74832 E74860:E74868 E74896:E74904 E74932:E74940 E74968:E74976 E75004:E75012 E75040:E75048 E75076:E75084 E75112:E75120 E75148:E75156 E75184:E75192 E75220:E75228 E75256:E75264 E75292:E75300 E75328:E75336 E75364:E75372 E75400:E75408 E75436:E75444 E75472:E75480 E75508:E75516 E75544:E75552 E75580:E75588 E75616:E75624 E75652:E75660 E75688:E75696 E75724:E75732 E75760:E75768 E75796:E75804 E75832:E75840 E75868:E75876 E75904:E75912 E75940:E75948 E75976:E75984 E76012:E76020 E76048:E76056 E76084:E76092 E76120:E76128 E76156:E76164 E76192:E76200 E76228:E76236 E76264:E76272 E76300:E76308 E76336:E76344 E76372:E76380 E76408:E76416 E76444:E76452 E76480:E76488 E76516:E76524 E76552:E76560 E76588:E76596 E76624:E76632 E76660:E76668 E76696:E76704 E76732:E76740 E76768:E76776 E76804:E76812 E76840:E76848 E76876:E76884 E76912:E76920 E76948:E76956 E76984:E76992 E77020:E77028 E77056:E77064 E77092:E77100 E77128:E77136 E77164:E77172 E77200:E77208 E77236:E77244 E77272:E77280 E77308:E77316 E77344:E77352 E77380:E77388 E77416:E77424 E77452:E77460 E77488:E77496 E77524:E77532 E77560:E77568 E77596:E77604 E77632:E77640 E77668:E77676 E77704:E77712 E77740:E77748 E77776:E77784 E77812:E77820 E77848:E77856 E77884:E77892 E77920:E77928 E77956:E77964 E77992:E78000 E78028:E78036 E78064:E78072 E78100:E78108 E78136:E78144 E78172:E78180 E78208:E78216 E78244:E78252 E78280:E78288 E78316:E78324 E78352:E78360 E78388:E78396 E78424:E78432 E78460:E78468 E78496:E78504 E78532:E78540 E78568:E78576 E78604:E78612 E78640:E78648 E78676:E78684 E78712:E78720 E78748:E78756 E78784:E78792 E78820:E78828 E78856:E78864 E78892:E78900 E78928:E78936 E78964:E78972 E79000:E79008 E79036:E79044 E79072:E79080 E79108:E79116 E79144:E79152 E79180:E79188 E79216:E79224 E79252:E79260 E79288:E79296 E79324:E79332 E79360:E79368 E79396:E79404 E79432:E79440 E79468:E79476 E79504:E79512 E79540:E79548 E79576:E79584 E79612:E79620 E79648:E79656 E79684:E79692 E79720:E79728 E79756:E79764 E79792:E79800 E79828:E79836 E79864:E79872 E79900:E79908 E79936:E79944 E79972:E79980 E80008:E80016 E80044:E80052 E80080:E80088 E80116:E80124 E80152:E80160 E80188:E80196 E80224:E80232 E80260:E80268 E80296:E80304 E80332:E80340 E80368:E80376 E80404:E80412 E80440:E80448 E80476:E80484 E80512:E80520 E80548:E80556 E80584:E80592 E80620:E80628 E80656:E80664 E80692:E80700 E80728:E80736 E80764:E80772 E80800:E80808 E80836:E80844 E80872:E80880 E80908:E80916 E80944:E80952 E80980:E80988 E81016:E81024 E81052:E81060 E81088:E81096 E81124:E81132 E81160:E81168 E81196:E81204 E81232:E81240 E81268:E81276 E81304:E81312 E81340:E81348 E81376:E81384 E81412:E81420 E81448:E81456 E81484:E81492 E81520:E81528 E81556:E81564 E81592:E81600 E81628:E81636 E81664:E81672 E81700:E81708 E81736:E81744 E81772:E81780 E81808:E81816 E81844:E81852 E81880:E81888 E81916:E81924 E81952:E81960 E81988:E81996 E82024:E82032 E82060:E82068 E82096:E82104 E82132:E82140 E82168:E82176 E82204:E82212 E82240:E82248 E82276:E82284 E82312:E82320 E82348:E82356 E82384:E82392 E82420:E82428 E82456:E82464 E82492:E82500 E82528:E82536 E82564:E82572 E82600:E82608 E82636:E82644 E82672:E82680 E82708:E82716 E82744:E82752 E82780:E82788 E82816:E82824 E82852:E82860 E82888:E82896 E82924:E82932 E82960:E82968 E82996:E83004 E83032:E83040 E83068:E83076 E83104:E83112 E83140:E83148 E83176:E83184 E83212:E83220 E83248:E83256 E83284:E83292 E83320:E83328 E83356:E83364 E83392:E83400 E83428:E83436 E83464:E83472 E83500:E83508 E83536:E83544 E83572:E83580 E83608:E83616 E83644:E83652 E83680:E83688 E83716:E83724 E83752:E83760 E83788:E83796 E83824:E83832 E83860:E83868 E83896:E83904 E83932:E83940 E83968:E83976 E84004:E84012 E84040:E84048 E84076:E84084 E84112:E84120 E84148:E84156 E84184:E84192 E84220:E84228 E84256:E84264 E84292:E84300 E84328:E84336 E84364:E84372 E84400:E84408 E84436:E84444 E84472:E84480 E84508:E84516 E84544:E84552 E84580:E84588 E84616:E84624 E84652:E84660 E84688:E84696 E84724:E84732 E84760:E84768 E84796:E84804 E84832:E84840 E84868:E84876 E84904:E84912 E84940:E84948 E84976:E84984 E85012:E85020 E85048:E85056 E85084:E85092 E85120:E85128 E85156:E85164 E85192:E85200 E85228:E85236 E85264:E85272 E85300:E85308 E85336:E85344 E85372:E85380 E85408:E85416 E85444:E85452 E85480:E85488 E85516:E85524 E85552:E85560 E85588:E85596 E85624:E85632 E85660:E85668 E85696:E85704 E85732:E85740 E85768:E85776 E85804:E85812 E85840:E85848 E85876:E85884 E85912:E85920 E85948:E85956 E85984:E85992 E86020:E86028 E86056:E86064 E86092:E86100 E86128:E86136 E86164:E86172 E86200:E86208 E86236:E86244 E86272:E86280 E86308:E86316 E86344:E86352 E86380:E86388 E86416:E86424 E86452:E86460 E86488:E86496 E86524:E86532 E86560:E86568 E86596:E86604 E86632:E86640 E86668:E86676 E86704:E86712 E86740:E86748 E86776:E86784 E86812:E86820 E86848:E86856 E86884:E86892 E86920:E86928 E86956:E86964 E86992:E87000 E87028:E87036 E87064:E87072 E87100:E87108 E87136:E87144 E87172:E87180 E87208:E87216 E87244:E87252 E87280:E87288 E87316:E87324 E87352:E87360 E87388:E87396 E87424:E87432 E87460:E87468 E87496:E87504 E87532:E87540 E87568:E87576 E87604:E87612 E87640:E87648 E87676:E87684 E87712:E87720 E87748:E87756 E87784:E87792 E87820:E87828 E87856:E87864 E87892:E87900 E87928:E87936 E87964:E87972 E88000:E88008 E88036:E88044 E88072:E88080 E88108:E88116 E88144:E88152 E88180:E88188 E88216:E88224 E88252:E88260 E88288:E88296 E88324:E88332 E88360:E88368 E88396:E88404 E88432:E88440 E88468:E88476 E88504:E88512 E88540:E88548 E88576:E88584 E88612:E88620 E88648:E88656 E88684:E88692 E88720:E88728 E88756:E88764 E88792:E88800 E88828:E88836 E88864:E88872 E88900:E88908 E88936:E88944 E88972:E88980 E89008:E89016 E89044:E89052 E89080:E89088 E89116:E89124 E89152:E89160 E89188:E89196 E89224:E89232 E89260:E89268 E89296:E89304 E89332:E89340 E89368:E89376 E89404:E89412 E89440:E89448 E89476:E89484 E89512:E89520 E89548:E89556 E89584:E89592 E89620:E89628 E89656:E89664 E89692:E89700 E89728:E89736 E89764:E89772 E89800:E89808 E89836:E89844 E89872:E89880 E89908:E89916 E89944:E89952 E89980:E89988 E90016:E90024 E90052:E90060 E90088:E90096 E90124:E90132 E90160:E90168 E90196:E90204 E90232:E90240 E90268:E90276 E90304:E90312 E90340:E90348 E90376:E90384 E90412:E90420 E90448:E90456 E90484:E90492 E90520:E90528 E90556:E90564 E90592:E90600 E90628:E90636 E90664:E90672 E90700:E90708 E90736:E90744 E90772:E90780 E90808:E90816 E90844:E90852 E90880:E90888 E90916:E90924 E90952:E90960 E90988:E90996 E91024:E91032 E91060:E91068 E91096:E91104 E91132:E91140 E91168:E91176 E91204:E91212 E91240:E91248 E91276:E91284 E91312:E91320 E91348:E91356 E91384:E91392 E91420:E91428 E91456:E91464 E91492:E91500 E91528:E91536 E91564:E91572 E91600:E91608 E91636:E91644 E91672:E91680 E91708:E91716 E91744:E91752 E91780:E91788 E91816:E91824 E91852:E91860 E91888:E91896 E91924:E91932 E91960:E91968 E91996:E92004 E92032:E92040 E92068:E92076 E92104:E92112 E92140:E92148 E92176:E92184 E92212:E92220 E92248:E92256 E92284:E92292 E92320:E92328 E92356:E92364 E92392:E92400 E92428:E92436 E92464:E92472 E92500:E92508 E92536:E92544 E92572:E92580 E92608:E92616 E92644:E92652 E92680:E92688 E92716:E92724 E92752:E92760 E92788:E92796 E92824:E92832 E92860:E92868 E92896:E92904 E92932:E92940 E92968:E92976 E93004:E93012 E93040:E93048 E93076:E93084 E93112:E93120 E93148:E93156 E93184:E93192 E93220:E93228 E93256:E93264 E93292:E93300 E93328:E93336 E93364:E93372 E93400:E93408 E93436:E93444 E93472:E93480 E93508:E93516 E93544:E93552 E93580:E93588 E93616:E93624 E93652:E93660 E93688:E93696 E93724:E93732 E93760:E93768 E93796:E93804 E93832:E93840 E93868:E93876 E93904:E93912 E93940:E93948 E93976:E93984 E94012:E94020 E94048:E94056 E94084:E94092 E94120:E94128 E94156:E94164 E94192:E94200 E94228:E94236 E94264:E94272 E94300:E94308 E94336:E94344 E94372:E94380 E94408:E94416 E94444:E94452 E94480:E94488 E94516:E94524 E94552:E94560 E94588:E94596 E94624:E94632 E94660:E94668 E94696:E94704 E94732:E94740 E94768:E94776 E94804:E94812 E94840:E94848 E94876:E94884 E94912:E94920 E94948:E94956 E94984:E94992 E95020:E95028 E95056:E95064 E95092:E95100 E95128:E95136 E95164:E95172 E95200:E95208 E95236:E95244 E95272:E95280 E95308:E95316 E95344:E95352 E95380:E95388 E95416:E95424 E95452:E95460 E95488:E95496 E95524:E95532 E95560:E95568 E95596:E95604 E95632:E95640 E95668:E95676 E95704:E95712 E95740:E95748 E95776:E95784 E95812:E95820 E95848:E95856 E95884:E95892 E95920:E95928 E95956:E95964 E95992:E96000 E96028:E96036 E96064:E96072 E96100:E96108 E96136:E96144 E96172:E96180 E96208:E96216 E96244:E96252 E96280:E96288 E96316:E96324 E96352:E96360 E96388:E96396 E96424:E96432 E96460:E96468 E96496:E96504 E96532:E96540 E96568:E96576 E96604:E96612 E96640:E96648 E96676:E96684 E96712:E96720 E96748:E96756 E96784:E96792 E96820:E96828 E96856:E96864 E96892:E96900 E96928:E96936 E96964:E96972 E97000:E97008 E97036:E97044 E97072:E97080 E97108:E97116 E97144:E97152 E97180:E97188 E97216:E97224 E97252:E97260 E97288:E97296 E97324:E97332 E97360:E97368 E97396:E97404 E97432:E97440 E97468:E97476 E97504:E97512 E97540:E97548 E97576:E97584 E97612:E97620 E97648:E97656 E97684:E97692 E97720:E97728 E97756:E97764 E97792:E97800 E97828:E97836 E97864:E97872 E97900:E97908 E97936:E97944 E97972:E97980 E98008:E98016 E98044:E98052 E98080:E98088 E98116:E98124 E98152:E98160 E98188:E98196 E98224:E98232 E98260:E98268 E98296:E98304 E98332:E98340 E98368:E98376 E98404:E98412 E98440:E98448 E98476:E98484 E98512:E98520 E98548:E98556 E98584:E98592 E98620:E98628 E98656:E98664 E98692:E98700 E98728:E98736 E98764:E98772 E98800:E98808 E98836:E98844 E98872:E98880 E98908:E98916 E98944:E98952 E98980:E98988 E99016:E99024 E99052:E99060 E99088:E99096 E99124:E99132 E99160:E99168 E99196:E99204 E99232:E99240 E99268:E99276 E99304:E99312 E99340:E99348 E99376:E99384 E99412:E99420 E99448:E99456 E99484:E99492 E99520:E99528 E99556:E99564 E99592:E99600 E99628:E99636 E99664:E99672 E99700:E99708 E99736:E99744 E99772:E99780 E99808:E99816 E99844:E99852 E99880:E99888 E99916:E99924 E99952:E99960 E99988:E99996 E100024:E100032 E100060:E100068 E100096:E100104 E100132:E100140 E100168:E100176 E100204:E100212 E100240:E100248 E100276:E100284 E100312:E100320 E100348:E100356 E100384:E100392 E100420:E100428 E100456:E100464 E100492:E100500 E100528:E100536 E100564:E100572 E100600:E100608 E100636:E100644 E100672:E100680 E100708:E100716 E100744:E100752 E100780:E100788 E100816:E100824 E100852:E100860 E100888:E100896 E100924:E100932 E100960:E100968 E100996:E101004 E101032:E101040 E101068:E101076 E101104:E101112 E101140:E101148 E101176:E101184 E101212:E101220 E101248:E101256 E101284:E101292 E101320:E101328 E101356:E101364 E101392:E101400 E101428:E101436 E101464:E101472 E101500:E101508 E101536:E101544 E101572:E101580 E101608:E101616 E101644:E101652 E101680:E101688 E101716:E101724 E101752:E101760 E101788:E101796 E101824:E101832 E101860:E101868 E101896:E101904 E101932:E101940 E101968:E101976 E102004:E102012 E102040:E102048 E102076:E102084 E102112:E102120 E102148:E102156 E102184:E102192 E102220:E102228 E102256:E102264 E102292:E102300 E102328:E102336 E102364:E102372 E102400:E102408 E102436:E102444 E102472:E102480 E102508:E102516 E102544:E102552 E102580:E102588 E102616:E102624 E102652:E102660 E102688:E102696 E102724:E102732 E102760:E102768 E102796:E102804 E102832:E102840 E102868:E102876 E102904:E102912 E102940:E102948 E102976:E102984 E103012:E103020 E103048:E103056 E103084:E103092 E103120:E103128 E103156:E103164 E103192:E103200 E103228:E103236 E103264:E103272 E103300:E103308 E103336:E103344 E103372:E103380 E103408:E103416 E103444:E103452 E103480:E103488 E103516:E103524 E103552:E103560 E103588:E103596 E103624:E103632 E103660:E103668 E103696:E103704 E103732:E103740 E103768:E103776 E103804:E103812 E103840:E103848 E103876:E103884 E103912:E103920 E103948:E103956 E103984:E103992 E104020:E104028 E104056:E104064 E104092:E104100 E104128:E104136 E104164:E104172 E104200:E104208 E104236:E104244 E104272:E104280 E104308:E104316 E104344:E104352 E104380:E104388 E104416:E104424 E104452:E104460 E104488:E104496 E104524:E104532 E104560:E104568 E104596:E104604 E104632:E104640 E104668:E104676 E104704:E104712 E104740:E104748 E104776:E104784 E104812:E104820 E104848:E104856 E104884:E104892 E104920:E104928 E104956:E104964 E104992:E105000 E105028:E105036 E105064:E105072 E105100:E105108 E105136:E105144 E105172:E105180 E105208:E105216 E105244:E105252 E105280:E105288 E105316:E105324 E105352:E105360 E105388:E105396 E105424:E105432 E105460:E105468 E105496:E105504 E105532:E105540 E105568:E105576 E105604:E105612 E105640:E105648 E105676:E105684 E105712:E105720 E105748:E105756 E105784:E105792 E105820:E105828 E105856:E105864 E105892:E105900 E105928:E105936 E105964:E105972 E106000:E106008 E106036:E106044 E106072:E106080 E106108:E106116 E106144:E106152 E106180:E106188 E106216:E106224 E106252:E106260 E106288:E106296 E106324:E106332 E106360:E106368 E106396:E106404 E106432:E106440 E106468:E106476 E106504:E106512 E106540:E106548 E106576:E106584 E106612:E106620 E106648:E106656 E106684:E106692 E106720:E106728 E106756:E106764 E106792:E106800 E106828:E106836 E106864:E106872 E106900:E106908 E106936:E106944 E106972:E106980 E107008:E107016 E107044:E107052 E107080:E107088 E107116:E107124 E107152:E107160 E107188:E107196 E107224:E107232 E107260:E107268 E107296:E107304 E107332:E107340 E107368:E107376 E107404:E107412 E107440:E107448 E107476:E107484 E107512:E107520 E107548:E107556 E107584:E107592 E107620:E107628 E107656:E107664 E107692:E107700 E107728:E107736 E107764:E107772 E107800:E107808 E107836:E107844 E107872:E107880 E107908:E107916 E107944:E107952 E107980:E107988 E108016:E108024 E108052:E108060 E108088:E108096 E108124:E108132 E108160:E108168 E108196:E108204 E108232:E108240 E108268:E108276 E108304:E108312 E108340:E108348 E108376:E108384 E108412:E108420 E108448:E108456 E108484:E108492 E108520:E108528 E108556:E108564 E108592:E108600 E108628:E108636 E108664:E108672 E108700:E108708 E108736:E108744 E108772:E108780 E108808:E108816 E108844:E108852 E108880:E108888 E108916:E108924 E108952:E108960 E108988:E108996 E109024:E109032 E109060:E109068 E109096:E109104 E109132:E109140 E109168:E109176 E109204:E109212 E109240:E109248 E109276:E109284 E109312:E109320 E109348:E109356 E109384:E109392 E109420:E109428 E109456:E109464 E109492:E109500 E109528:E109536 E109564:E109572 E109600:E109608 E109636:E109644 E109672:E109680 E109708:E109716 E109744:E109752 E109780:E109788 E109816:E109824 E109852:E109860 E109888:E109896 E109924:E109932 E109960:E109968 E109996:E110004 E110032:E110040 E110068:E110076 E110104:E110112 E110140:E110148 E110176:E110184 E110212:E110220 E110248:E110256 E110284:E110292 E110320:E110328 E110356:E110364 E110392:E110400 E110428:E110436 E110464:E110472 E110500:E110508 E110536:E110544 E110572:E110580 E110608:E110616 E110644:E110652 E110680:E110688 E110716:E110724 E110752:E110760 E110788:E110796 E110824:E110832 E110860:E110868 E110896:E110904 E110932:E110940 E110968:E110976 E111004:E111012 E111040:E111048 E111076:E111084 E111112:E111120 E111148:E111156 E111184:E111192 E111220:E111228 E111256:E111264 E111292:E111300 E111328:E111336 E111364:E111372 E111400:E111408 E111436:E111444 E111472:E111480 E111508:E111516 E111544:E111552 E111580:E111588 E111616:E111624 E111652:E111660 E111688:E111696 E111724:E111732 E111760:E111768 E111796:E111804 E111832:E111840 E111868:E111876 E111904:E111912 E111940:E111948 E111976:E111984 E112012:E112020 E112048:E112056 E112084:E112092 E112120:E112128 E112156:E112164 E112192:E112200 E112228:E112236 E112264:E112272 E112300:E112308 E112336:E112344 E112372:E112380 E112408:E112416 E112444:E112452 E112480:E112488 E112516:E112524 E112552:E112560 E112588:E112596 E112624:E112632 E112660:E112668 E112696:E112704 E112732:E112740 E112768:E112776 E112804:E112812 E112840:E112848 E112876:E112884 E112912:E112920 E112948:E112956 E112984:E112992 E113020:E113028 E113056:E113064 E113092:E113100 E113128:E113136 E113164:E113172 E113200:E113208 E113236:E113244 E113272:E113280 E113308:E113316 E113344:E113352 E113380:E113388 E113416:E113424 E113452:E113460 E113488:E113496 E113524:E113532 E113560:E113568 E113596:E113604 E113632:E113640 E113668:E113676 E113704:E113712 E113740:E113748 E113776:E113784 E113812:E113820 E113848:E113856 E113884:E113892 E113920:E113928 E113956:E113964 E113992:E114000 E114028:E114036 E114064:E114072 E114100:E114108 E114136:E114144 E114172:E114180 E114208:E114216 E114244:E114252 E114280:E114288 E114316:E114324 E114352:E114360 E114388:E114396 E114424:E114432 E114460:E114468 E114496:E114504 E114532:E114540 E114568:E114576 E114604:E114612 E114640:E114648 E114676:E114684 E114712:E114720 E114748:E114756 E114784:E114792 E114820:E114828 E114856:E114864 E114892:E114900 E114928:E114936 E114964:E114972 E115000:E115008 E115036:E115044 E115072:E115080 E115108:E115116 E115144:E115152 E115180:E115188 E115216:E115224 E115252:E115260 E115288:E115296 E115324:E115332 E115360:E115368 E115396:E115404 E115432:E115440 E115468:E115476 E115504:E115512 E115540:E115548 E115576:E115584 E115612:E115620 E115648:E115656 E115684:E115692 E115720:E115728 E115756:E115764 E115792:E115800 E115828:E115836 E115864:E115872 E115900:E115908 E115936:E115944 E115972:E115980 E116008:E116016 E116044:E116052 E116080:E116088 E116116:E116124 E116152:E116160 E116188:E116196 E116224:E116232 E116260:E116268 E116296:E116304 E116332:E116340 E116368:E116376 E116404:E116412 E116440:E116448 E116476:E116484 E116512:E116520 E116548:E116556 E116584:E116592 E116620:E116628 E116656:E116664 E116692:E116700 E116728:E116736 E116764:E116772 E116800:E116808 E116836:E116844 E116872:E116880 E116908:E116916 E116944:E116952 E116980:E116988 E117016:E117024 E117052:E117060 E117088:E117096 E117124:E117132 E117160:E117168 E117196:E117204 E117232:E117240 E117268:E117276 E117304:E117312 E117340:E117348 E117376:E117384 E117412:E117420 E117448:E117456 E117484:E117492 E117520:E117528 E117556:E117564 E117592:E117600 E117628:E117636 E117664:E117672 E117700:E117708 E117736:E117744 E117772:E117780 E117808:E117816 E117844:E117852 E117880:E117888 E117916:E117924 E117952:E117960 E117988:E117996 E118024:E118032 E118060:E118068 E118096:E118104 E118132:E118140 E118168:E118176 E118204:E118212 E118240:E118248 E118276:E118284 E118312:E118320 E118348:E118356 E118384:E118392 E118420:E118428 E118456:E118464 E118492:E118500 E118528:E118536 E118564:E118572 E118600:E118608 E118636:E118644 E118672:E118680 E118708:E118716 E118744:E118752 E118780:E118788 E118816:E118824 E118852:E118860 E118888:E118896 E118924:E118932 E118960:E118968 E118996:E119004 E119032:E119040 E119068:E119076 E119104:E119112 E119140:E119148 E119176:E119184 E119212:E119220 E119248:E119256 E119284:E119292 E119320:E119328 E119356:E119364 E119392:E119400 E119428:E119436 E119464:E119472 E119500:E119508 E119536:E119544 E119572:E119580 E119608:E119616 E119644:E119652 E119680:E119688 E119716:E119724 E119752:E119760 E119788:E119796 E119824:E119832 E119860:E119868 E119896:E119904 E119932:E119940 E119968:E119976 E120004:E120012 E120040:E120048 E120076:E120084 E120112:E120120 E120148:E120156 E120184:E120192 E120220:E120228 E120256:E120264 E120292:E120300 E120328:E120336 E120364:E120372 E120400:E120408 E120436:E120444 E120472:E120480 E120508:E120516 E120544:E120552 E120580:E120588 E120616:E120624 E120652:E120660 E120688:E120696 E120724:E120732 E120760:E120768 E120796:E120804 E120832:E120840 E120868:E120876 E120904:E120912 E120940:E120948 E120976:E120984 E121012:E121020 E121048:E121056 E121084:E121092 E121120:E121128 E121156:E121164 E121192:E121200 E121228:E121236 E121264:E121272 E121300:E121308 E121336:E121344 E121372:E121380 E121408:E121416 E121444:E121452 E121480:E121488 E121516:E121524 E121552:E121560 E121588:E121596 E121624:E121632 E121660:E121668 E121696:E121704 E121732:E121740 E121768:E121776 E121804:E121812 E121840:E121848 E121876:E121884 E121912:E121920 E121948:E121956 E121984:E121992 E122020:E122028 E122056:E122064 E122092:E122100 E122128:E122136 E122164:E122172 E122200:E122208 E122236:E122244 E122272:E122280 E122308:E122316 E122344:E122352 E122380:E122388 E122416:E122424 E122452:E122460 E122488:E122496 E122524:E122532 E122560:E122568 E122596:E122604 E122632:E122640 E122668:E122676 E122704:E122712 E122740:E122748 E122776:E122784 E122812:E122820 E122848:E122856 E122884:E122892 E122920:E122928 E122956:E122964 E122992:E123000 E123028:E123036 E123064:E123072 E123100:E123108 E123136:E123144 E123172:E123180 E123208:E123216 E123244:E123252 E123280:E123288 E123316:E123324 E123352:E123360 E123388:E123396 E123424:E123432 E123460:E123468 E123496:E123504 E123532:E123540 E123568:E123576 E123604:E123612 E123640:E123648 E123676:E123684 E123712:E123720 E123748:E123756 E123784:E123792 E123820:E123828 E123856:E123864 E123892:E123900 E123928:E123936 E123964:E123972 E124000:E124008 E124036:E124044 E124072:E124080 E124108:E124116 E124144:E124152 E124180:E124188 E124216:E124224 E124252:E124260 E124288:E124296 E124324:E124332 E124360:E124368 E124396:E124404 E124432:E124440 E124468:E124476 E124504:E124512 E124540:E124548 E124576:E124584 E124612:E124620 E124648:E124656 E124684:E124692 E124720:E124728 E124756:E124764 E124792:E124800 E124828:E124836 E124864:E124872 E124900:E124908 E124936:E124944 E124972:E124980 E125008:E125016 E125044:E125052 E125080:E125088 E125116:E125124 E125152:E125160 E125188:E125196 E125224:E125232 E125260:E125268 E125296:E125304 E125332:E125340 E125368:E125376 E125404:E125412 E125440:E125448 E125476:E125484 E125512:E125520 E125548:E125556 E125584:E125592 E125620:E125628 E125656:E125664 E125692:E125700 E125728:E125736 E125764:E125772 E125800:E125808 E125836:E125844 E125872:E125880 E125908:E125916 E125944:E125952 E125980:E125988 E126016:E126024 E126052:E126060 E126088:E126096 E126124:E126132 E126160:E126168 E126196:E126204 E126232:E126240 E126268:E126276 E126304:E126312 E126340:E126348 E126376:E126384 E126412:E126420 E126448:E126456 E126484:E126492 E126520:E126528 E126556:E126564 E126592:E126600 E126628:E126636 E126664:E126672 E126700:E126708 E126736:E126744 E126772:E126780 E126808:E126816 E126844:E126852 E126880:E126888 E126916:E126924 E126952:E126960 E126988:E126996 E127024:E127032 E127060:E127068 E127096:E127104 E127132:E127140 E127168:E127176 E127204:E127212 E127240:E127248 E127276:E127284 E127312:E127320 E127348:E127356 E127384:E127392 E127420:E127428 E127456:E127464 E127492:E127500 E127528:E127536 E127564:E127572 E127600:E127608 E127636:E127644 E127672:E127680 E127708:E127716 E127744:E127752 E127780:E127788 E127816:E127824 E127852:E127860 E127888:E127896 E127924:E127932 E127960:E127968 E127996:E128004 E128032:E128040 E128068:E128076 E128104:E128112 E128140:E128148 E128176:E128184 E128212:E128220 E128248:E128256 E128284:E128292 E128320:E128328 E128356:E128364 E128392:E128400 E128428:E128436 E128464:E128472 E128500:E128508 E128536:E128544 E128572:E128580 E128608:E128616 E128644:E128652 E128680:E128688 E128716:E128724 E128752:E128760 E128788:E128796 E128824:E128832 E128860:E128868 E128896:E128904 E128932:E128940 E128968:E128976 E129004:E129012 E129040:E129048 E129076:E129084 E129112:E129120 E129148:E129156 E129184:E129192 E129220:E129228 E129256:E129264 E129292:E129300 E129328:E129336 E129364:E129372 E129400:E129408 E129436:E129444 E129472:E129480 E129508:E129516 E129544:E129552 E129580:E129588 E129616:E129624 E129652:E129660 E129688:E129696 E129724:E129732 E129760:E129768 E129796:E129804 E129832:E129840 E129868:E129876 E129904:E129912 E129940:E129948 E129976:E129984 E130012:E130020 E130048:E130056 E130084:E130092 E130120:E130128 E130156:E130164 E130192:E130200 E130228:E130236 E130264:E130272 E130300:E130308 E130336:E130344 E130372:E130380 E130408:E130416 E130444:E130452 E130480:E130488 E130516:E130524 E130552:E130560 E130588:E130596 E130624:E130632 E130660:E130668 E130696:E130704 E130732:E130740 E130768:E130776 E130804:E130812 E130840:E130848 E130876:E130884 E130912:E130920 E130948:E130956 E130984:E130992 E131020:E131028 E131056:E131064 E131092:E131100 E131128:E131136 E131164:E131172 E131200:E131208 E131236:E131244 E131272:E131280 E131308:E131316 E131344:E131352 E131380:E131388 E131416:E131424 E131452:E131460 E131488:E131496 E131524:E131532 E131560:E131568 E131596:E131604 E131632:E131640 E131668:E131676 E131704:E131712 E131740:E131748 E131776:E131784 E131812:E131820 E131848:E131856 E131884:E131892 E131920:E131928 E131956:E131964 E131992:E132000 E132028:E132036 E132064:E132072 E132100:E132108 E132136:E132144 E132172:E132180 E132208:E132216 E132244:E132252 E132280:E132288 E132316:E132324 E132352:E132360 E132388:E132396 E132424:E132432 E132460:E132468 E132496:E132504 E132532:E132540 E132568:E132576 E132604:E132612 E132640:E132648 E132676:E132684 E132712:E132720 E132748:E132756 E132784:E132792 E132820:E132828 E132856:E132864 E132892:E132900 E132928:E132936 E132964:E132972 E133000:E133008 E133036:E133044 E133072:E133080 E133108:E133116 E133144:E133152 E133180:E133188 E133216:E133224 E133252:E133260 E133288:E133296 E133324:E133332 E133360:E133368 E133396:E133404 E133432:E133440 E133468:E133476 E133504:E133512 E133540:E133548 E133576:E133584 E133612:E133620 E133648:E133656 E133684:E133692 E133720:E133728 E133756:E133764 E133792:E133800 E133828:E133836 E133864:E133872 E133900:E133908 E133936:E133944 E133972:E133980 E134008:E134016 E134044:E134052 E134080:E134088 E134116:E134124 E134152:E134160 E134188:E134196 E134224:E134232 E134260:E134268 E134296:E134304 E134332:E134340 E134368:E134376 E134404:E134412 E134440:E134448 E134476:E134484 E134512:E134520 E134548:E134556 E134584:E134592 E134620:E134628 E134656:E134664 E134692:E134700 E134728:E134736 E134764:E134772 E134800:E134808 E134836:E134844 E134872:E134880 E134908:E134916 E134944:E134952 E134980:E134988 E135016:E135024 E135052:E135060 E135088:E135096 E135124:E135132 E135160:E135168 E135196:E135204 E135232:E135240 E135268:E135276 E135304:E135312 E135340:E135348 E135376:E135384 E135412:E135420 E135448:E135456 E135484:E135492 E135520:E135528 E135556:E135564 E135592:E135600 E135628:E135636 E135664:E135672 E135700:E135708 E135736:E135744 E135772:E135780 E135808:E135816 E135844:E135852 E135880:E135888 E135916:E135924 E135952:E135960 E135988:E135996 E136024:E136032 E136060:E136068 E136096:E136104 E136132:E136140 E136168:E136176 E136204:E136212 E136240:E136248 E136276:E136284 E136312:E136320 E136348:E136356 E136384:E136392 E136420:E136428 E136456:E136464 E136492:E136500 E136528:E136536 E136564:E136572 E136600:E136608 E136636:E136644 E136672:E136680 E136708:E136716 E136744:E136752 E136780:E136788 E136816:E136824 E136852:E136860 E136888:E136896 E136924:E136932 E136960:E136968 E136996:E137004 E137032:E137040 E137068:E137076 E137104:E137112 E137140:E137148 E137176:E137184 E137212:E137220 E137248:E137256 E137284:E137292 E137320:E137328 E137356:E137364 E137392:E137400 E137428:E137436 E137464:E137472 E137500:E137508 E137536:E137544 E137572:E137580 E137608:E137616 E137644:E137652 E137680:E137688 E137716:E137724 E137752:E137760 E137788:E137796 E137824:E137832 E137860:E137868 E137896:E137904 E137932:E137940 E137968:E137976 E138004:E138012 E138040:E138048 E138076:E138084 E138112:E138120 E138148:E138156 E138184:E138192 E138220:E138228 E138256:E138264 E138292:E138300 E138328:E138336 E138364:E138372 E138400:E138408 E138436:E138444 E138472:E138480 E138508:E138516 E138544:E138552 E138580:E138588 E138616:E138624 E138652:E138660 E138688:E138696 E138724:E138732 E138760:E138768 E138796:E138804 E138832:E138840 E138868:E138876 E138904:E138912 E138940:E138948 E138976:E138984 E139012:E139020 E139048:E139056 E139084:E139092 E139120:E139128 E139156:E139164 E139192:E139200 E139228:E139236 E139264:E139272 E139300:E139308 E139336:E139344 E139372:E139380 E139408:E139416 E139444:E139452 E139480:E139488 E139516:E139524 E139552:E139560 E139588:E139596 E139624:E139632 E139660:E139668 E139696:E139704 E139732:E139740 E139768:E139776 E139804:E139812 E139840:E139848 E139876:E139884 E139912:E139920 E139948:E139956 E139984:E139992 E140020:E140028 E140056:E140064 E140092:E140100 E140128:E140136 E140164:E140172 E140200:E140208 E140236:E140244 E140272:E140280 E140308:E140316 E140344:E140352 E140380:E140388 E140416:E140424 E140452:E140460 E140488:E140496 E140524:E140532 E140560:E140568 E140596:E140604 E140632:E140640 E140668:E140676 E140704:E140712 E140740:E140748 E140776:E140784 E140812:E140820 E140848:E140856 E140884:E140892 E140920:E140928 E140956:E140964 E140992:E141000 E141028:E141036 E141064:E141072 E141100:E141108 E141136:E141144 E141172:E141180 E141208:E141216 E141244:E141252 E141280:E141288 E141316:E141324 E141352:E141360 E141388:E141396 E141424:E141432 E141460:E141468 E141496:E141504 E141532:E141540 E141568:E141576 E141604:E141612 E141640:E141648 E141676:E141684 E141712:E141720 E141748:E141756 E141784:E141792 E141820:E141828 E141856:E141864 E141892:E141900 E141928:E141936 E141964:E141972 E142000:E142008 E142036:E142044 E142072:E142080 E142108:E142116 E142144:E142152 E142180:E142188 E142216:E142224 E142252:E142260 E142288:E142296 E142324:E142332 E142360:E142368 E142396:E142404 E142432:E142440 E142468:E142476 E142504:E142512 E142540:E142548 E142576:E142584 E142612:E142620 E142648:E142656 E142684:E142692 E142720:E142728 E142756:E142764 E142792:E142800 E142828:E142836 E142864:E142872 E142900:E142908 E142936:E142944 E142972:E142980 E143008:E143016 E143044:E143052 E143080:E143088 E143116:E143124 E143152:E143160 E143188:E143196 E143224:E143232 E143260:E143268 E143296:E143304 E143332:E143340 E143368:E143376 E143404:E143412 E143440:E143448 E143476:E143484 E143512:E143520 E143548:E143556 E143584:E143592 E143620:E143628 E143656:E143664 E143692:E143700 E143728:E143736 E143764:E143772 E143800:E143808 E143836:E143844 E143872:E143880 E143908:E143916 E143944:E143952 E143980:E143988 E144016:E144024 E144052:E144060 E144088:E144096 E144124:E144132 E144160:E144168 E144196:E144204 E144232:E144240 E144268:E144276 E144304:E144312 E144340:E144348 E144376:E144384 E144412:E144420 E144448:E144456 E144484:E144492 E144520:E144528 E144556:E144564 E144592:E144600 E144628:E144636 E144664:E144672 E144700:E144708 E144736:E144744 E144772:E144780 E144808:E144816 E144844:E144852 E144880:E144888 E144916:E144924 E144952:E144960 E144988:E144996 E145024:E145032 E145060:E145068 E145096:E145104 E145132:E145140 E145168:E145176 E145204:E145212 E145240:E145248 E145276:E145284 E145312:E145320 E145348:E145356 E145384:E145392 E145420:E145428 E145456:E145464 E145492:E145500 E145528:E145536 E145564:E145572 E145600:E145608 E145636:E145644 E145672:E145680 E145708:E145716 E145744:E145752 E145780:E145788 E145816:E145824 E145852:E145860 E145888:E145896 E145924:E145932 E145960:E145968 E145996:E146004 E146032:E146040 E146068:E146076 E146104:E146112 E146140:E146148 E146176:E146184 E146212:E146220 E146248:E146256 E146284:E146292 E146320:E146328 E146356:E146364 E146392:E146400 E146428:E146436 E146464:E146472 E146500:E146508 E146536:E146544 E146572:E146580 E146608:E146616 E146644:E146652 E146680:E146688 E146716:E146724 E146752:E146760 E146788:E146796 E146824:E146832 E146860:E146868 E146896:E146904 E146932:E146940 E146968:E146976 E147004:E147012 E147040:E147048 E147076:E147084 E147112:E147120 E147148:E147156 E147184:E147192 E147220:E147228 E147256:E147264 E147292:E147300 E147328:E147336 E147364:E147372 E147400:E147408 E147436:E147444 E147472:E147480 E147508:E147516 E147544:E147552 E147580:E147588 E147616:E147624 E147652:E147660 E147688:E147696 E147724:E147732 E147760:E147768 E147796:E147804 E147832:E147840 E147868:E147876 E147904:E147912 E147940:E147948 E147976:E147984 E148012:E148020 E148048:E148056 E148084:E148092 E148120:E148128 E148156:E148164 E148192:E148200 E148228:E148236 E148264:E148272 E148300:E148308 E148336:E148344 E148372:E148380 E148408:E148416 E148444:E148452 E148480:E148488 E148516:E148524 E148552:E148560 E148588:E148596 E148624:E148632 E148660:E148668 E148696:E148704 E148732:E148740 E148768:E148776 E148804:E148812 E148840:E148848 E148876:E148884 E148912:E148920 E148948:E148956 E148984:E148992 E149020:E149028 E149056:E149064 E149092:E149100 E149128:E149136 E149164:E149172 E149200:E149208 E149236:E149244 E149272:E149280 E149308:E149316 E149344:E149352 E149380:E149388 E149416:E149424 E149452:E149460 E149488:E149496 E149524:E149532 E149560:E149568 E149596:E149604 E149632:E149640 E149668:E149676 E149704:E149712 E149740:E149748 E149776:E149784 E149812:E149820 E149848:E149856 E149884:E149892 E149920:E149928 E149956:E149964 E149992:E150000 E150028:E150036 E150064:E150072 E150100:E150108 E150136:E150144 E150172:E150180 E150208:E150216 E150244:E150252 E150280:E150288 E150316:E150324 E150352:E150360 E150388:E150396 E150424:E150432 E150460:E150468 E150496:E150504 E150532:E150540 E150568:E150576 E150604:E150612 E150640:E150648 E150676:E150684 E150712:E150720 E150748:E150756 E150784:E150792 E150820:E150828 E150856:E150864 E150892:E150900 E150928:E150936 E150964:E150972 E151000:E151008 E151036:E151044 E151072:E151080 E151108:E151116 E151144:E151152 E151180:E151188 E151216:E151224 E151252:E151260 E151288:E151296 E151324:E151332 E151360:E151368 E151396:E151404 E151432:E151440 E151468:E151476 E151504:E151512 E151540:E151548 E151576:E151584 E151612:E151620 E151648:E151656 E151684:E151692 E151720:E151728 E151756:E151764 E151792:E151800 E151828:E151836 E151864:E151872 E151900:E151908 E151936:E151944 E151972:E151980 E152008:E152016 E152044:E152052 E152080:E152088 E152116:E152124 E152152:E152160 E152188:E152196 E152224:E152232 E152260:E152268 E152296:E152304 E152332:E152340 E152368:E152376 E152404:E152412 E152440:E152448 E152476:E152484 E152512:E152520 E152548:E152556 E152584:E152592 E152620:E152628 E152656:E152664 E152692:E152700 E152728:E152736 E152764:E152772 E152800:E152808 E152836:E152844 E152872:E152880 E152908:E152916 E152944:E152952 E152980:E152988 E153016:E153024 E153052:E153060 E153088:E153096 E153124:E153132 E153160:E153168 E153196:E153204 E153232:E153240 E153268:E153276 E153304:E153312 E153340:E153348 E153376:E153384 E153412:E153420 E153448:E153456 E153484:E153492 E153520:E153528 E153556:E153564 E153592:E153600 E153628:E153636 E153664:E153672 E153700:E153708 E153736:E153744 E153772:E153780 E153808:E153816 E153844:E153852 E153880:E153888 E153916:E153924 E153952:E153960 E153988:E153996 E154024:E154032 E154060:E154068 E154096:E154104 E154132:E154140 E154168:E154176 E154204:E154212 E154240:E154248 E154276:E154284 E154312:E154320 E154348:E154356 E154384:E154392 E154420:E154428 E154456:E154464 E154492:E154500 E154528:E154536 E154564:E154572 E154600:E154608 E154636:E154644 E154672:E154680 E154708:E154716 E154744:E154752 E154780:E154788 E154816:E154824 E154852:E154860 E154888:E154896 E154924:E154932 E154960:E154968 E154996:E155004 E155032:E155040 E155068:E155076 E155104:E155112 E155140:E155148 E155176:E155184 E155212:E155220 E155248:E155256 E155284:E155292 E155320:E155328 E155356:E155364 E155392:E155400 E155428:E155436 E155464:E155472 E155500:E155508 E155536:E155544 E155572:E155580 E155608:E155616 E155644:E155652 E155680:E155688 E155716:E155724 E155752:E155760 E155788:E155796 E155824:E155832 E155860:E155868 E155896:E155904 E155932:E155940 E155968:E155976 E156004:E156012 E156040:E156048 E156076:E156084 E156112:E156120 E156148:E156156 E156184:E156192 E156220:E156228 E156256:E156264 E156292:E156300 E156328:E156336 E156364:E156372 E156400:E156408 E156436:E156444 E156472:E156480 E156508:E156516 E156544:E156552 E156580:E156588 E156616:E156624 E156652:E156660 E156688:E156696 E156724:E156732 E156760:E156768 E156796:E156804 E156832:E156840 E156868:E156876 E156904:E156912 E156940:E156948 E156976:E156984 E157012:E157020 E157048:E157056 E157084:E157092 E157120:E157128 E157156:E157164 E157192:E157200 E157228:E157236 E157264:E157272 E157300:E157308 E157336:E157344 E157372:E157380 E157408:E157416 E157444:E157452 E157480:E157488 E157516:E157524 E157552:E157560 E157588:E157596 E157624:E157632 E157660:E157668 E157696:E157704 E157732:E157740 E157768:E157776 E157804:E157812 E157840:E157848 E157876:E157884 E157912:E157920 E157948:E157956 E157984:E157992 E158020:E158028 E158056:E158064 E158092:E158100 E158128:E158136 E158164:E158172 E158200:E158208 E158236:E158244 E158272:E158280 E158308:E158316 E158344:E158352 E158380:E158388 E158416:E158424 E158452:E158460 E158488:E158496 E158524:E158532 E158560:E158568 E158596:E158604 E158632:E158640 E158668:E158676 E158704:E158712 E158740:E158748 E158776:E158784 E158812:E158820 E158848:E158856 E158884:E158892 E158920:E158928 E158956:E158964 E158992:E159000 E159028:E159036 E159064:E159072 E159100:E159108 E159136:E159144 E159172:E159180 E159208:E159216 E159244:E159252 E159280:E159288 E159316:E159324 E159352:E159360 E159388:E159396 E159424:E159432 E159460:E159468 E159496:E159504 E159532:E159540 E159568:E159576 E159604:E159612 E159640:E159648 E159676:E159684 E159712:E159720 E159748:E159756 E159784:E159792 E159820:E159828 E159856:E159864 E159892:E159900 E159928:E159936 E159964:E159972 E160000:E160008 E160036:E160044 E160072:E160080 E160108:E160116 E160144:E160152 E160180:E160188 E160216:E160224 E160252:E160260 E160288:E160296 E160324:E160332 E160360:E160368 E160396:E160404 E160432:E160440 E160468:E160476 E160504:E160512 E160540:E160548 E160576:E160584 E160612:E160620 E160648:E160656 E160684:E160692 E160720:E160728 E160756:E160764 E160792:E160800 E160828:E160836 E160864:E160872 E160900:E160908 E160936:E160944 E160972:E160980 E161008:E161016 E161044:E161052 E161080:E161088 E161116:E161124 E161152:E161160 E161188:E161196 E161224:E161232 E161260:E161268 E161296:E161304 E161332:E161340 E161368:E161376 E161404:E161412 E161440:E161448 E161476:E161484 E161512:E161520 E161548:E161556 E161584:E161592 E161620:E161628 E161656:E161664 E161692:E161700 E161728:E161736 E161764:E161772 E161800:E161808 E161836:E161844 E161872:E161880 E161908:E161916 E161944:E161952 E161980:E161988 E162016:E162024 E162052:E162060 E162088:E162096 E162124:E162132 E162160:E162168 E162196:E162204 E162232:E162240 E162268:E162276 E162304:E162312 E162340:E162348 E162376:E162384 E162412:E162420 E162448:E162456 E162484:E162492 E162520:E162528 E162556:E162564 E162592:E162600 E162628:E162636 E162664:E162672 E162700:E162708 E162736:E162744 E162772:E162780 E162808:E162816 E162844:E162852 E162880:E162888 E162916:E162924 E162952:E162960 E162988:E162996 E163024:E163032 E163060:E163068 E163096:E163104 E163132:E163140 E163168:E163176 E163204:E163212 E163240:E163248 E163276:E163284 E163312:E163320 E163348:E163356 E163384:E163392 E163420:E163428 E163456:E163464 E163492:E163500 E163528:E163536 E163564:E163572 E163600:E163608 E163636:E163644 E163672:E163680 E163708:E163716 E163744:E163752 E163780:E163788 E163816:E163824 E163852:E163860 E163888:E163896 E163924:E163932 E163960:E163968 E163996:E164004 E164032:E164040 E164068:E164076 E164104:E164112 E164140:E164148 E164176:E164184 E164212:E164220 E164248:E164256 E164284:E164292 E164320:E164328 E164356:E164364 E164392:E164400 E164428:E164436 E164464:E164472 E164500:E164508 E164536:E164544 E164572:E164580 E164608:E164616 E164644:E164652 E164680:E164688 E164716:E164724 E164752:E164760 E164788:E164796 E164824:E164832 E164860:E164868 E164896:E164904 E164932:E164940 E164968:E164976 E165004:E165012 E165040:E165048 E165076:E165084 E165112:E165120 E165148:E165156 E165184:E165192 E165220:E165228 E165256:E165264 E165292:E165300 E165328:E165336 E165364:E165372 E165400:E165408 E165436:E165444 E165472:E165480 E165508:E165516 E165544:E165552 E165580:E165588 E165616:E165624 E165652:E165660 E165688:E165696 E165724:E165732 E165760:E165768 E165796:E165804 E165832:E165840 E165868:E165876 E165904:E165912 E165940:E165948 E165976:E165984 E166012:E166020 E166048:E166056 E166084:E166092 E166120:E166128 E166156:E166164 E166192:E166200 E166228:E166236 E166264:E166272 E166300:E166308 E166336:E166344 E166372:E166380 E166408:E166416 E166444:E166452 E166480:E166488 E166516:E166524 E166552:E166560 E166588:E166596 E166624:E166632 E166660:E166668 E166696:E166704 E166732:E166740 E166768:E166776 E166804:E166812 E166840:E166848 E166876:E166884 E166912:E166920 E166948:E166956 E166984:E166992 E167020:E167028 E167056:E167064 E167092:E167100 E167128:E167136 E167164:E167172 E167200:E167208 E167236:E167244 E167272:E167280 E167308:E167316 E167344:E167352 E167380:E167388 E167416:E167424 E167452:E167460 E167488:E167496 E167524:E167532 E167560:E167568 E167596:E167604 E167632:E167640 E167668:E167676 E167704:E167712 E167740:E167748 E167776:E167784 E167812:E167820 E167848:E167856 E167884:E167892 E167920:E167928 E167956:E167964 E167992:E168000 E168028:E168036 E168064:E168072 E168100:E168108 E168136:E168144 E168172:E168180 E168208:E168216 E168244:E168252 E168280:E168288 E168316:E168324 E168352:E168360 E168388:E168396 E168424:E168432 E168460:E168468 E168496:E168504 E168532:E168540 E168568:E168576 E168604:E168612 E168640:E168648 E168676:E168684 E168712:E168720 E168748:E168756 E168784:E168792 E168820:E168828 E168856:E168864 E168892:E168900 E168928:E168936 E168964:E168972 E169000:E169008 E169036:E169044 E169072:E169080 E169108:E169116 E169144:E169152 E169180:E169188 E169216:E169224 E169252:E169260 E169288:E169296 E169324:E169332 E169360:E169368 E169396:E169404 E169432:E169440 E169468:E169476 E169504:E169512 E169540:E169548 E169576:E169584 E169612:E169620 E169648:E169656 E169684:E169692 E169720:E169728 E169756:E169764 E169792:E169800 E169828:E169836 E169864:E169872 E169900:E169908 E169936:E169944 E169972:E169980 E170008:E170016 E170044:E170052 E170080:E170088 E170116:E170124 E170152:E170160 E170188:E170196 E170224:E170232 E170260:E170268 E170296:E170304 E170332:E170340 E170368:E170376 E170404:E170412 E170440:E170448 E170476:E170484 E170512:E170520 E170548:E170556 E170584:E170592 E170620:E170628 E170656:E170664 E170692:E170700 E170728:E170736 E170764:E170772 E170800:E170808 E170836:E170844 E170872:E170880 E170908:E170916 E170944:E170952 E170980:E170988 E171016:E171024 E171052:E171060 E171088:E171096 E171124:E171132 E171160:E171168 E171196:E171204 E171232:E171240 E171268:E171276 E171304:E171312 E171340:E171348 E171376:E171384 E171412:E171420 E171448:E171456 E171484:E171492 E171520:E171528 E171556:E171564 E171592:E171600 E171628:E171636 E171664:E171672 E171700:E171708 E171736:E171744 E171772:E171780 E171808:E171816 E171844:E171852 E171880:E171888 E171916:E171924 E171952:E171960 E171988:E171996 E172024:E172032 E172060:E172068 E172096:E172104 E172132:E172140 E172168:E172176 E172204:E172212 E172240:E172248 E172276:E172284 E172312:E172320 E172348:E172356 E172384:E172392 E172420:E172428 E172456:E172464 E172492:E172500 E172528:E172536 E172564:E172572 E172600:E172608 E172636:E172644 E172672:E172680 E172708:E172716 E172744:E172752 E172780:E172788 E172816:E172824 E172852:E172860 E172888:E172896 E172924:E172932 E172960:E172968 E172996:E173004 E173032:E173040 E173068:E173076 E173104:E173112 E173140:E173148 E173176:E173184 E173212:E173220 E173248:E173256 E173284:E173292 E173320:E173328 E173356:E173364 E173392:E173400 E173428:E173436 E173464:E173472 E173500:E173508 E173536:E173544 E173572:E173580 E173608:E173616 E173644:E173652 E173680:E173688 E173716:E173724 E173752:E173760 E173788:E173796 E173824:E173832 E173860:E173868 E173896:E173904 E173932:E173940 E173968:E173976 E174004:E174012 E174040:E174048 E174076:E174084 E174112:E174120 E174148:E174156 E174184:E174192 E174220:E174228 E174256:E174264 E174292:E174300 E174328:E174336 E174364:E174372 E174400:E174408 E174436:E174444 E174472:E174480 E174508:E174516 E174544:E174552 E174580:E174588 E174616:E174624 E174652:E174660 E174688:E174696 E174724:E174732 E174760:E174768 E174796:E174804 E174832:E174840 E174868:E174876 E174904:E174912 E174940:E174948 E174976:E174984 E175012:E175020 E175048:E175056 E175084:E175092 E175120:E175128 E175156:E175164 E175192:E175200 E175228:E175236 E175264:E175272 E175300:E175308 E175336:E175344 E175372:E175380 E175408:E175416 E175444:E175452 E175480:E175488 E175516:E175524 E175552:E175560 E175588:E175596 E175624:E175632 E175660:E175668 E175696:E175704 E175732:E175740 E175768:E175776 E175804:E175812 E175840:E175848 E175876:E175884 E175912:E175920 E175948:E175956 E175984:E175992 E176020:E176028 E176056:E176064 E176092:E176100 E176128:E176136 E176164:E176172 E176200:E176208 E176236:E176244 E176272:E176280 E176308:E176316 E176344:E176352 E176380:E176388 E176416:E176424 E176452:E176460 E176488:E176496 E176524:E176532 E176560:E176568 E176596:E176604 E176632:E176640 E176668:E176676 E176704:E176712 E176740:E176748 E176776:E176784 E176812:E176820 E176848:E176856 E176884:E176892 E176920:E176928 E176956:E176964 E176992:E177000 E177028:E177036 E177064:E177072 E177100:E177108 E177136:E177144 E177172:E177180 E177208:E177216 E177244:E177252 E177280:E177288 E177316:E177324 E177352:E177360 E177388:E177396 E177424:E177432 E177460:E177468 E177496:E177504 E177532:E177540 E177568:E177576 E177604:E177612 E177640:E177648 E177676:E177684 E177712:E177720 E177748:E177756 E177784:E177792 E177820:E177828 E177856:E177864 E177892:E177900 E177928:E177936 E177964:E177972 E178000:E178008 E178036:E178044 E178072:E178080 E178108:E178116 E178144:E178152 E178180:E178188 E178216:E178224 E178252:E178260 E178288:E178296 E178324:E178332 E178360:E178368 E178396:E178404 E178432:E178440 E178468:E178476 E178504:E178512 E178540:E178548 E178576:E178584 E178612:E178620 E178648:E178656 E178684:E178692 E178720:E178728 E178756:E178764 E178792:E178800 E178828:E178836 E178864:E178872 E178900:E178908 E178936:E178944 E178972:E178980 E179008:E179016 E179044:E179052 E179080:E179088 E179116:E179124 E179152:E179160 E179188:E179196 E179224:E179232 E179260:E179268 E179296:E179304 E179332:E179340 E179368:E179376 E179404:E179412 E179440:E179448 E179476:E179484 E179512:E179520 E179548:E179556 E179584:E179592 E179620:E179628 E179656:E179664 E179692:E179700 E179728:E179736 E179764:E179772 E179800:E179808 E179836:E179844 E179872:E179880 E179908:E179916 E179944:E179952 E179980:E179988 E180016:E180024 E180052:E180060 E180088:E180096 E180124:E180132 E180160:E180168 E180196:E180204 E180232:E180240 E180268:E180276 E180304:E180312 E180340:E180348 E180376:E180384 E180412:E180420 E180448:E180456 E180484:E180492 E180520:E180528 E180556:E180564 E180592:E180600 E180628:E180636 E180664:E180672 E180700:E180708 E180736:E180744 E180772:E180780 E180808:E180816 E180844:E180852 E180880:E180888 E180916:E180924 E180952:E180960 E180988:E180996 E181024:E181032 E181060:E181068 E181096:E181104 E181132:E181140 E181168:E181176 E181204:E181212 E181240:E181248 E181276:E181284 E181312:E181320 E181348:E181356 E181384:E181392 E181420:E181428 E181456:E181464 E181492:E181500 E181528:E181536 E181564:E181572 E181600:E181608 E181636:E181644 E181672:E181680 E181708:E181716 E181744:E181752 E181780:E181788 E181816:E181824 E181852:E181860 E181888:E181896 E181924:E181932 E181960:E181968 E181996:E182004 E182032:E182040 E182068:E182076 E182104:E182112 E182140:E182148 E182176:E182184 E182212:E182220 E182248:E182256 E182284:E182292 E182320:E182328 E182356:E182364 E182392:E182400 E182428:E182436 E182464:E182472 E182500:E182508 E182536:E182544 E182572:E182580 E182608:E182616 E182644:E182652 E182680:E182688 E182716:E182724 E182752:E182760 E182788:E182796 E182824:E182832 E182860:E182868 E182896:E182904 E182932:E182940 E182968:E182976 E183004:E183012 E183040:E183048 E183076:E183084 E183112:E183120 E183148:E183156 E183184:E183192 E183220:E183228 E183256:E183264 E183292:E183300 E183328:E183336 E183364:E183372 E183400:E183408 E183436:E183444 E183472:E183480 E183508:E183516 E183544:E183552 E183580:E183588 E183616:E183624 E183652:E183660 E183688:E183696 E183724:E183732 E183760:E183768 E183796:E183804 E183832:E183840 E183868:E183876 E183904:E183912 E183940:E183948 E183976:E183984 E184012:E184020 E184048:E184056 E184084:E184092 E184120:E184128 E184156:E184164 E184192:E184200 E184228:E184236 E184264:E184272 E184300:E184308 E184336:E184344 E184372:E184380 E184408:E184416 E184444:E184452 E184480:E184488 E184516:E184524 E184552:E184560 E184588:E184596 E184624:E184632 E184660:E184668 E184696:E184704 E184732:E184740 E184768:E184776 E184804:E184812 E184840:E184848 E184876:E184884 E184912:E184920 E184948:E184956 E184984:E184992 E185020:E185028 E185056:E185064 E185092:E185100 E185128:E185136 E185164:E185172 E185200:E185208 E185236:E185244 E185272:E185280 E185308:E185316 E185344:E185352 E185380:E185388 E185416:E185424 E185452:E185460 E185488:E185496 E185524:E185532 E185560:E185568 E185596:E185604 E185632:E185640 E185668:E185676 E185704:E185712 E185740:E185748 E185776:E185784 E185812:E185820 E185848:E185856 E185884:E185892 E185920:E185928 E185956:E185964 E185992:E186000 E186028:E186036 E186064:E186072 E186100:E186108 E186136:E186144 E186172:E186180 E186208:E186216 E186244:E186252 E186280:E186288 E186316:E186324 E186352:E186360 E186388:E186396 E186424:E186432 E186460:E186468 E186496:E186504 E186532:E186540 E186568:E186576 E186604:E186612 E186640:E186648 E186676:E186684 E186712:E186720 E186748:E186756 E186784:E186792 E186820:E186828 E186856:E186864 E186892:E186900 E186928:E186936 E186964:E186972 E187000:E187008 E187036:E187044 E187072:E187080 E187108:E187116 E187144:E187152 E187180:E187188 E187216:E187224 E187252:E187260 E187288:E187296 E187324:E187332 E187360:E187368 E187396:E187404 E187432:E187440 E187468:E187476 E187504:E187512 E187540:E187548 E187576:E187584 E187612:E187620 E187648:E187656 E187684:E187692 E187720:E187728 E187756:E187764 E187792:E187800 E187828:E187836 E187864:E187872 E187900:E187908 E187936:E187944 E187972:E187980 E188008:E188016 E188044:E188052 E188080:E188088 E188116:E188124 E188152:E188160 E188188:E188196 E188224:E188232 E188260:E188268 E188296:E188304 E188332:E188340 E188368:E188376 E188404:E188412 E188440:E188448 E188476:E188484 E188512:E188520 E188548:E188556 E188584:E188592 E188620:E188628 E188656:E188664 E188692:E188700 E188728:E188736 E188764:E188772 E188800:E188808 E188836:E188844 E188872:E188880 E188908:E188916 E188944:E188952 E188980:E188988 E189016:E189024 E189052:E189060 E189088:E189096 E189124:E189132 E189160:E189168 E189196:E189204 E189232:E189240 E189268:E189276 E189304:E189312 E189340:E189348 E189376:E189384 E189412:E189420 E189448:E189456 E189484:E189492 E189520:E189528 E189556:E189564 E189592:E189600 E189628:E189636 E189664:E189672 E189700:E189708 E189736:E189744 E189772:E189780 E189808:E189816 E189844:E189852 E189880:E189888 E189916:E189924 E189952:E189960 E189988:E189996 E190024:E190032 E190060:E190068 E190096:E190104 E190132:E190140 E190168:E190176 E190204:E190212 E190240:E190248 E190276:E190284 E190312:E190320 E190348:E190356 E190384:E190392 E190420:E190428 E190456:E190464 E190492:E190500 E190528:E190536 E190564:E190572 E190600:E190608 E190636:E190644 E190672:E190680 E190708:E190716 E190744:E190752 E190780:E190788 E190816:E190824 E190852:E190860 E190888:E190896 E190924:E190932 E190960:E190968 E190996:E191004 E191032:E191040 E191068:E191076 E191104:E191112 E191140:E191148 E191176:E191184 E191212:E191220 E191248:E191256 E191284:E191292 E191320:E191328 E191356:E191364 E191392:E191400 E191428:E191436 E191464:E191472 E191500:E191508 E191536:E191544 E191572:E191580 E191608:E191616 E191644:E191652 E191680:E191688 E191716:E191724 E191752:E191760 E191788:E191796 E191824:E191832 E191860:E191868 E191896:E191904 E191932:E191940 E191968:E191976 E192004:E192012 E192040:E192048 E192076:E192084 E192112:E192120 E192148:E192156 E192184:E192192 E192220:E192228 E192256:E192264 E192292:E192300 E192328:E192336 E192364:E192372 E192400:E192408 E192436:E192444 E192472:E192480 E192508:E192516 E192544:E192552 E192580:E192588 E192616:E192624 E192652:E192660 E192688:E192696 E192724:E192732 E192760:E192768 E192796:E192804 E192832:E192840 E192868:E192876 E192904:E192912 E192940:E192948 E192976:E192984 E193012:E193020 E193048:E193056 E193084:E193092 E193120:E193128 E193156:E193164 E193192:E193200 E193228:E193236 E193264:E193272 E193300:E193308 E193336:E193344 E193372:E193380 E193408:E193416 E193444:E193452 E193480:E193488 E193516:E193524 E193552:E193560 E193588:E193596 E193624:E193632 E193660:E193668 E193696:E193704 E193732:E193740 E193768:E193776 E193804:E193812 E193840:E193848 E193876:E193884 E193912:E193920 E193948:E193956 E193984:E193992 E194020:E194028 E194056:E194064 E194092:E194100 E194128:E194136 E194164:E194172 E194200:E194208 E194236:E194244 E194272:E194280 E194308:E194316 E194344:E194352 E194380:E194388 E194416:E194424 E194452:E194460 E194488:E194496 E194524:E194532 E194560:E194568 E194596:E194604 E194632:E194640 E194668:E194676 E194704:E194712 E194740:E194748 E194776:E194784 E194812:E194820 E194848:E194856 E194884:E194892 E194920:E194928 E194956:E194964 E194992:E195000 E195028:E195036 E195064:E195072 E195100:E195108 E195136:E195144 E195172:E195180 E195208:E195216 E195244:E195252 E195280:E195288 E195316:E195324 E195352:E195360 E195388:E195396 E195424:E195432 E195460:E195468 E195496:E195504 E195532:E195540 E195568:E195576 E195604:E195612 E195640:E195648 E195676:E195684 E195712:E195720 E195748:E195756 E195784:E195792 E195820:E195828 E195856:E195864 E195892:E195900 E195928:E195936 E195964:E195972 E196000:E196008 E196036:E196044 E196072:E196080 E196108:E196116 E196144:E196152 E196180:E196188 E196216:E196224 E196252:E196260 E196288:E196296 E196324:E196332 E196360:E196368 E196396:E196404 E196432:E196440 E196468:E196476 E196504:E196512 E196540:E196548 E196576:E196584 E196612:E196620 E196648:E196656 E196684:E196692 E196720:E196728 E196756:E196764 E196792:E196800 E196828:E196836 E196864:E196872 E196900:E196908 E196936:E196944 E196972:E196980 E197008:E197016 E197044:E197052 E197080:E197088 E197116:E197124 E197152:E197160 E197188:E197196 E197224:E197232 E197260:E197268 E197296:E197304 E197332:E197340 E197368:E197376 E197404:E197412 E197440:E197448 E197476:E197484 E197512:E197520 E197548:E197556 E197584:E197592 E197620:E197628 E197656:E197664 E197692:E197700 E197728:E197736 E197764:E197772 E197800:E197808 E197836:E197844 E197872:E197880 E197908:E197916 E197944:E197952 E197980:E197988 E198016:E198024 E198052:E198060 E198088:E198096 E198124:E198132 E198160:E198168 E198196:E198204 E198232:E198240 E198268:E198276 E198304:E198312 E198340:E198348 E198376:E198384 E198412:E198420 E198448:E198456 E198484:E198492 E198520:E198528 E198556:E198564 E198592:E198600 E198628:E198636 E198664:E198672 E198700:E198708 E198736:E198744 E198772:E198780 E198808:E198816 E198844:E198852 E198880:E198888 E198916:E198924 E198952:E198960 E198988:E198996 E199024:E199032 E199060:E199068 E199096:E199104 E199132:E199140 E199168:E199176 E199204:E199212 E199240:E199248 E199276:E199284 E199312:E199320 E199348:E199356 E199384:E199392 E199420:E199428 E199456:E199464 E199492:E199500 E199528:E199536 E199564:E199572 E199600:E199608 E199636:E199644 E199672:E199680 E199708:E199716 E199744:E199752 E199780:E199788 E199816:E199824 E199852:E199860 E199888:E199896 E199924:E199932 E199960:E199968 E199996:E200004 E200032:E200040 E200068:E200076 E200104:E200112 E200140:E200148 E200176:E200184 E200212:E200220 E200248:E200256 E200284:E200292 E200320:E200328 E200356:E200364 E200392:E200400 E200428:E200436 E200464:E200472 E200500:E200508 E200536:E200544 E200572:E200580 E200608:E200616 E200644:E200652 E200680:E200688 E200716:E200724 E200752:E200760 E200788:E200796 E200824:E200832 E200860:E200868 E200896:E200904 E200932:E200940 E200968:E200976 E201004:E201012 E201040:E201048 E201076:E201084 E201112:E201120 E201148:E201156 E201184:E201192 E201220:E201228 E201256:E201264 E201292:E201300 E201328:E201336 E201364:E201372 E201400:E201408 E201436:E201444 E201472:E201480 E201508:E201516 E201544:E201552 E201580:E201588 E201616:E201624 E201652:E201660 E201688:E201696 E201724:E201732 E201760:E201768 E201796:E201804 E201832:E201840 E201868:E201876 E201904:E201912 E201940:E201948 E201976:E201984 E202012:E202020 E202048:E202056 E202084:E202092 E202120:E202128 E202156:E202164 E202192:E202200 E202228:E202236 E202264:E202272 E202300:E202308 E202336:E202344 E202372:E202380 E202408:E202416 E202444:E202452 E202480:E202488 E202516:E202524 E202552:E202560 E202588:E202596 E202624:E202632 E202660:E202668 E202696:E202704 E202732:E202740 E202768:E202776 E202804:E202812 E202840:E202848 E202876:E202884 E202912:E202920 E202948:E202956 E202984:E202992 E203020:E203028 E203056:E203064 E203092:E203100 E203128:E203136 E203164:E203172 E203200:E203208 E203236:E203244 E203272:E203280 E203308:E203316 E203344:E203352 E203380:E203388 E203416:E203424 E203452:E203460 E203488:E203496 E203524:E203532 E203560:E203568 E203596:E203604 E203632:E203640 E203668:E203676 E203704:E203712 E203740:E203748 E203776:E203784 E203812:E203820 E203848:E203856 E203884:E203892 E203920:E203928 E203956:E203964 E203992:E204000 E204028:E204036 E204064:E204072 E204100:E204108 E204136:E204144 E204172:E204180 E204208:E204216 E204244:E204252 E204280:E204288 E204316:E204324 E204352:E204360 E204388:E204396 E204424:E204432 E204460:E204468 E204496:E204504 E204532:E204540 E204568:E204576 E204604:E204612 E204640:E204648 E204676:E204684 E204712:E204720 E204748:E204756 E204784:E204792 E204820:E204828 E204856:E204864 E204892:E204900 E204928:E204936 E204964:E204972 E205000:E205008 E205036:E205044 E205072:E205080 E205108:E205116 E205144:E205152 E205180:E205188 E205216:E205224 E205252:E205260 E205288:E205296 E205324:E205332 E205360:E205368 E205396:E205404 E205432:E205440 E205468:E205476 E205504:E205512 E205540:E205548 E205576:E205584 E205612:E205620 E205648:E205656 E205684:E205692 E205720:E205728 E205756:E205764 E205792:E205800 E205828:E205836 E205864:E205872 E205900:E205908 E205936:E205944 E205972:E205980 E206008:E206016 E206044:E206052 E206080:E206088 E206116:E206124 E206152:E206160 E206188:E206196 E206224:E206232 E206260:E206268 E206296:E206304 E206332:E206340 E206368:E206376 E206404:E206412 E206440:E206448 E206476:E206484 E206512:E206520 E206548:E206556 E206584:E206592 E206620:E206628 E206656:E206664 E206692:E206700 E206728:E206736 E206764:E206772 E206800:E206808 E206836:E206844 E206872:E206880 E206908:E206916 E206944:E206952 E206980:E206988 E207016:E207024 E207052:E207060 E207088:E207096 E207124:E207132 E207160:E207168 E207196:E207204 E207232:E207240 E207268:E207276 E207304:E207312 E207340:E207348 E207376:E207384 E207412:E207420 E207448:E207456 E207484:E207492 E207520:E207528 E207556:E207564 E207592:E207600 E207628:E207636 E207664:E207672 E207700:E207708 E207736:E207744 E207772:E207780 E207808:E207816 E207844:E207852 E207880:E207888 E207916:E207924 E207952:E207960 E207988:E207996 E208024:E208032 E208060:E208068 E208096:E208104 E208132:E208140 E208168:E208176 E208204:E208212 E208240:E208248 E208276:E208284 E208312:E208320 E208348:E208356 E208384:E208392 E208420:E208428 E208456:E208464 E208492:E208500 E208528:E208536 E208564:E208572 E208600:E208608 E208636:E208644 E208672:E208680 E208708:E208716 E208744:E208752 E208780:E208788 E208816:E208824 E208852:E208860 E208888:E208896 E208924:E208932 E208960:E208968 E208996:E209004 E209032:E209040 E209068:E209076 E209104:E209112 E209140:E209148 E209176:E209184 E209212:E209220 E209248:E209256 E209284:E209292 E209320:E209328 E209356:E209364 E209392:E209400 E209428:E209436 E209464:E209472 E209500:E209508 E209536:E209544 E209572:E209580 E209608:E209616 E209644:E209652 E209680:E209688 E209716:E209724 E209752:E209760 E209788:E209796 E209824:E209832 E209860:E209868 E209896:E209904 E209932:E209940 E209968:E209976 E210004:E210012 E210040:E210048 E210076:E210084 E210112:E210120 E210148:E210156 E210184:E210192 E210220:E210228 E210256:E210264 E210292:E210300 E210328:E210336 E210364:E210372 E210400:E210408 E210436:E210444 E210472:E210480 E210508:E210516 E210544:E210552 E210580:E210588 E210616:E210624 E210652:E210660 E210688:E210696 E210724:E210732 E210760:E210768 E210796:E210804 E210832:E210840 E210868:E210876 E210904:E210912 E210940:E210948 E210976:E210984 E211012:E211020 E211048:E211056 E211084:E211092 E211120:E211128 E211156:E211164 E211192:E211200 E211228:E211236 E211264:E211272 E211300:E211308 E211336:E211344 E211372:E211380 E211408:E211416 E211444:E211452 E211480:E211488 E211516:E211524 E211552:E211560 E211588:E211596 E211624:E211632 E211660:E211668 E211696:E211704 E211732:E211740 E211768:E211776 E211804:E211812 E211840:E211848 E211876:E211884 E211912:E211920 E211948:E211956 E211984:E211992 E212020:E212028 E212056:E212064 E212092:E212100 E212128:E212136 E212164:E212172 E212200:E212208 E212236:E212244 E212272:E212280 E212308:E212316 E212344:E212352 E212380:E212388 E212416:E212424 E212452:E212460 E212488:E212496 E212524:E212532 E212560:E212568 E212596:E212604 E212632:E212640 E212668:E212676 E212704:E212712 E212740:E212748 E212776:E212784 E212812:E212820 E212848:E212856 E212884:E212892 E212920:E212928 E212956:E212964 E212992:E213000 E213028:E213036 E213064:E213072 E213100:E213108 E213136:E213144 E213172:E213180 E213208:E213216 E213244:E213252 E213280:E213288 E213316:E213324 E213352:E213360 E213388:E213396 E213424:E213432 E213460:E213468 E213496:E213504 E213532:E213540 E213568:E213576 E213604:E213612 E213640:E213648 E213676:E213684 E213712:E213720 E213748:E213756 E213784:E213792 E213820:E213828 E213856:E213864 E213892:E213900 E213928:E213936 E213964:E213972 E214000:E214008 E214036:E214044 E214072:E214080 E214108:E214116 E214144:E214152 E214180:E214188 E214216:E214224 E214252:E214260 E214288:E214296 E214324:E214332 E214360:E214368 E214396:E214404 E214432:E214440 E214468:E214476 E214504:E214512 E214540:E214548 E214576:E214584 E214612:E214620 E214648:E214656 E214684:E214692 E214720:E214728 E214756:E214764 E214792:E214800 E214828:E214836 E214864:E214872 E214900:E214908 E214936:E214944 E214972:E214980 E215008:E215016 E215044:E215052 E215080:E215088 E215116:E215124 E215152:E215160 E215188:E215196 E215224:E215232 E215260:E215268 E215296:E215304 E215332:E215340 E215368:E215376 E215404:E215412 E215440:E215448 E215476:E215484 E215512:E215520 E215548:E215556 E215584:E215592 E215620:E215628 E215656:E215664 E215692:E215700 E215728:E215736 E215764:E215772 E215800:E215808 E215836:E215844 E215872:E215880 E215908:E215916 E215944:E215952 E215980:E215988 E216016:E216024 E216052:E216060 E216088:E216096 E216124:E216132 E216160:E216168 E216196:E216204 E216232:E216240 E216268:E216276 E216304:E216312 E216340:E216348 E216376:E216384 E216412:E216420 E216448:E216456 E216484:E216492 E216520:E216528 E216556:E216564 E216592:E216600 E216628:E216636 E216664:E216672 E216700:E216708 E216736:E216744 E216772:E216780 E216808:E216816 E216844:E216852 E216880:E216888 E216916:E216924 E216952:E216960 E216988:E216996 E217024:E217032 E217060:E217068 E217096:E217104 E217132:E217140 E217168:E217176 E217204:E217212 E217240:E217248 E217276:E217284 E217312:E217320 E217348:E217356 E217384:E217392 E217420:E217428 E217456:E217464 E217492:E217500 E217528:E217536 E217564:E217572 E217600:E217608 E217636:E217644 E217672:E217680 E217708:E217716 E217744:E217752 E217780:E217788 E217816:E217824 E217852:E217860 E217888:E217896 E217924:E217932 E217960:E217968 E217996:E218004 E218032:E218040 E218068:E218076 E218104:E218112 E218140:E218148 E218176:E218184 E218212:E218220 E218248:E218256 E218284:E218292 E218320:E218328 E218356:E218364 E218392:E218400 E218428:E218436 E218464:E218472 E218500:E218508 E218536:E218544 E218572:E218580 E218608:E218616 E218644:E218652 E218680:E218688 E218716:E218724 E218752:E218760 E218788:E218796 E218824:E218832 E218860:E218868 E218896:E218904 E218932:E218940 E218968:E218976 E219004:E219012 E219040:E219048 E219076:E219084 E219112:E219120 E219148:E219156 E219184:E219192 E219220:E219228 E219256:E219264 E219292:E219300 E219328:E219336 E219364:E219372 E219400:E219408 E219436:E219444 E219472:E219480 E219508:E219516 E219544:E219552 E219580:E219588 E219616:E219624 E219652:E219660 E219688:E219696 E219724:E219732 E219760:E219768 E219796:E219804 E219832:E219840 E219868:E219876 E219904:E219912 E219940:E219948 E219976:E219984 E220012:E220020 E220048:E220056 E220084:E220092 E220120:E220128 E220156:E220164 E220192:E220200 E220228:E220236 E220264:E220272 E220300:E220308 E220336:E220344 E220372:E220380 E220408:E220416 E220444:E220452 E220480:E220488 E220516:E220524 E220552:E220560 E220588:E220596 E220624:E220632 E220660:E220668 E220696:E220704 E220732:E220740 E220768:E220776 E220804:E220812 E220840:E220848 E220876:E220884 E220912:E220920 E220948:E220956 E220984:E220992 E221020:E221028 E221056:E221064 E221092:E221100 E221128:E221136 E221164:E221172 E221200:E221208 E221236:E221244 E221272:E221280 E221308:E221316 E221344:E221352 E221380:E221388 E221416:E221424 E221452:E221460 E221488:E221496 E221524:E221532 E221560:E221568 E221596:E221604 E221632:E221640 E221668:E221676 E221704:E221712 E221740:E221748 E221776:E221784 E221812:E221820 E221848:E221856 E221884:E221892 E221920:E221928 E221956:E221964 E221992:E222000 E222028:E222036 E222064:E222072 E222100:E222108 E222136:E222144 E222172:E222180 E222208:E222216 E222244:E222252 E222280:E222288 E222316:E222324 E222352:E222360 E222388:E222396 E222424:E222432 E222460:E222468 E222496:E222504 E222532:E222540 E222568:E222576 E222604:E222612 E222640:E222648 E222676:E222684 E222712:E222720 E222748:E222756 E222784:E222792 E222820:E222828 E222856:E222864 E222892:E222900 E222928:E222936 E222964:E222972 E223000:E223008 E223036:E223044 E223072:E223080 E223108:E223116 E223144:E223152 E223180:E223188 E223216:E223224 E223252:E223260 E223288:E223296 E223324:E223332 E223360:E223368 E223396:E223404 E223432:E223440 E223468:E223476 E223504:E223512 E223540:E223548 E223576:E223584 E223612:E223620 E223648:E223656 E223684:E223692 E223720:E223728 E223756:E223764 E223792:E223800 E223828:E223836 E223864:E223872 E223900:E223908 E223936:E223944 E223972:E223980 E224008:E224016 E224044:E224052 E224080:E224088 E224116:E224124 E224152:E224160 E224188:E224196 E224224:E224232 E224260:E224268 E224296:E224304 E224332:E224340 E224368:E224376 E224404:E224412 E224440:E224448 E224476:E224484 E224512:E224520 E224548:E224556 E224584:E224592 E224620:E224628 E224656:E224664 E224692:E224700 E224728:E224736 E224764:E224772 E224800:E224808 E224836:E224844 E224872:E224880 E224908:E224916 E224944:E224952 E224980:E224988 E225016:E225024 E225052:E225060 E225088:E225096 E225124:E225132 E225160:E225168 E225196:E225204 E225232:E225240 E225268:E225276 E225304:E225312 E225340:E225348 E225376:E225384 E225412:E225420 E225448:E225456 E225484:E225492 E225520:E225528 E225556:E225564 E225592:E225600 E225628:E225636 E225664:E225672 E225700:E225708 E225736:E225744 E225772:E225780 E225808:E225816 E225844:E225852 E225880:E225888 E225916:E225924 E225952:E225960 E225988:E225996 E226024:E226032 E226060:E226068 E226096:E226104 E226132:E226140 E226168:E226176 E226204:E226212 E226240:E226248 E226276:E226284 E226312:E226320 E226348:E226356 E226384:E226392 E226420:E226428 E226456:E226464 E226492:E226500 E226528:E226536 E226564:E226572 E226600:E226608 E226636:E226644 E226672:E226680 E226708:E226716 E226744:E226752 E226780:E226788 E226816:E226824 E226852:E226860 E226888:E226896 E226924:E226932 E226960:E226968 E226996:E227004 E227032:E227040 E227068:E227076 E227104:E227112 E227140:E227148 E227176:E227184 E227212:E227220 E227248:E227256 E227284:E227292 E227320:E227328 E227356:E227364 E227392:E227400 E227428:E227436 E227464:E227472 E227500:E227508 E227536:E227544 E227572:E227580 E227608:E227616 E227644:E227652 E227680:E227688 E227716:E227724 E227752:E227760 E227788:E227796 E227824:E227832 E227860:E227868 E227896:E227904 E227932:E227940 E227968:E227976 E228004:E228012 E228040:E228048 E228076:E228084 E228112:E228120 E228148:E228156 E228184:E228192 E228220:E228228 E228256:E228264 E228292:E228300 E228328:E228336 E228364:E228372 E228400:E228408 E228436:E228444 E228472:E228480 E228508:E228516 E228544:E228552 E228580:E228588 E228616:E228624 E228652:E228660 E228688:E228696 E228724:E228732 E228760:E228768 E228796:E228804 E228832:E228840 E228868:E228876 E228904:E228912 E228940:E228948 E228976:E228984 E229012:E229020 E229048:E229056 E229084:E229092 E229120:E229128 E229156:E229164 E229192:E229200 E229228:E229236 E229264:E229272 E229300:E229308 E229336:E229344 E229372:E229380 E229408:E229416 E229444:E229452 E229480:E229488 E229516:E229524 E229552:E229560 E229588:E229596 E229624:E229632 E229660:E229668 E229696:E229704 E229732:E229740 E229768:E229776 E229804:E229812 E229840:E229848 E229876:E229884 E229912:E229920 E229948:E229956 E229984:E229992 E230020:E230028 E230056:E230064 E230092:E230100 E230128:E230136 E230164:E230172 E230200:E230208 E230236:E230244 E230272:E230280 E230308:E230316 E230344:E230352 E230380:E230388 E230416:E230424 E230452:E230460 E230488:E230496 E230524:E230532 E230560:E230568 E230596:E230604 E230632:E230640 E230668:E230676 E230704:E230712 E230740:E230748 E230776:E230784 E230812:E230820 E230848:E230856 E230884:E230892 E230920:E230928 E230956:E230964 E230992:E231000 E231028:E231036 E231064:E231072 E231100:E231108 E231136:E231144 E231172:E231180 E231208:E231216 E231244:E231252 E231280:E231288 E231316:E231324 E231352:E231360 E231388:E231396 E231424:E231432 E231460:E231468 E231496:E231504 E231532:E231540 E231568:E231576 E231604:E231612 E231640:E231648 E231676:E231684 E231712:E231720 E231748:E231756 E231784:E231792 E231820:E231828 E231856:E231864 E231892:E231900 E231928:E231936 E231964:E231972 E232000:E232008 E232036:E232044 E232072:E232080 E232108:E232116 E232144:E232152 E232180:E232188 E232216:E232224 E232252:E232260 E232288:E232296 E232324:E232332 E232360:E232368 E232396:E232404 E232432:E232440 E232468:E232476 E232504:E232512 E232540:E232548 E232576:E232584 E232612:E232620 E232648:E232656 E232684:E232692 E232720:E232728 E232756:E232764 E232792:E232800 E232828:E232836 E232864:E232872 E232900:E232908 E232936:E232944 E232972:E232980 E233008:E233016 E233044:E233052 E233080:E233088 E233116:E233124 E233152:E233160 E233188:E233196 E233224:E233232 E233260:E233268 E233296:E233304 E233332:E233340 E233368:E233376 E233404:E233412 E233440:E233448 E233476:E233484 E233512:E233520 E233548:E233556 E233584:E233592 E233620:E233628 E233656:E233664 E233692:E233700 E233728:E233736 E233764:E233772 E233800:E233808 E233836:E233844 E233872:E233880 E233908:E233916 E233944:E233952 E233980:E233988 E234016:E234024 E234052:E234060 E234088:E234096 E234124:E234132 E234160:E234168 E234196:E234204 E234232:E234240 E234268:E234276 E234304:E234312 E234340:E234348 E234376:E234384 E234412:E234420 E234448:E234456 E234484:E234492 E234520:E234528 E234556:E234564 E234592:E234600 E234628:E234636 E234664:E234672 E234700:E234708 E234736:E234744 E234772:E234780 E234808:E234816 E234844:E234852 E234880:E234888 E234916:E234924 E234952:E234960 E234988:E234996 E235024:E235032 E235060:E235068 E235096:E235104 E235132:E235140 E235168:E235176 E235204:E235212 E235240:E235248 E235276:E235284 E235312:E235320 E235348:E235356 E235384:E235392 E235420:E235428 E235456:E235464 E235492:E235500 E235528:E235536 E235564:E235572 E235600:E235608 E235636:E235644 E235672:E235680 E235708:E235716 E235744:E235752 E235780:E235788 E235816:E235824 E235852:E235860 E235888:E235896 E235924:E235932 E235960:E235968 E235996:E236004 E236032:E236040 E236068:E236076 E236104:E236112 E236140:E236148 E236176:E236184 E236212:E236220 E236248:E236256 E236284:E236292 E236320:E236328 E236356:E236364 E236392:E236400 E236428:E236436 E236464:E236472 E236500:E236508 E236536:E236544 E236572:E236580 E236608:E236616 E236644:E236652 E236680:E236688 E236716:E236724 E236752:E236760 E236788:E236796 E236824:E236832 E236860:E236868 E236896:E236904 E236932:E236940 E236968:E236976 E237004:E237012 E237040:E237048 E237076:E237084 E237112:E237120 E237148:E237156 E237184:E237192 E237220:E237228 E237256:E237264 E237292:E237300 E237328:E237336 E237364:E237372 E237400:E237408 E237436:E237444 E237472:E237480 E237508:E237516 E237544:E237552 E237580:E237588 E237616:E237624 E237652:E237660 E237688:E237696 E237724:E237732 E237760:E237768 E237796:E237804 E237832:E237840 E237868:E237876 E237904:E237912 E237940:E237948 E237976:E237984 E238012:E238020 E238048:E238056 E238084:E238092 E238120:E238128 E238156:E238164 E238192:E238200 E238228:E238236 E238264:E238272 E238300:E238308 E238336:E238344 E238372:E238380 E238408:E238416 E238444:E238452 E238480:E238488 E238516:E238524 E238552:E238560 E238588:E238596 E238624:E238632 E238660:E238668 E238696:E238704 E238732:E238740 E238768:E238776 E238804:E238812 E238840:E238848 E238876:E238884 E238912:E238920 E238948:E238956 E238984:E238992 E239020:E239028 E239056:E239064 E239092:E239100 E239128:E239136 E239164:E239172 E239200:E239208 E239236:E239244 E239272:E239280 E239308:E239316 E239344:E239352 E239380:E239388 E239416:E239424 E239452:E239460 E239488:E239496 E239524:E239532 E239560:E239568 E239596:E239604 E239632:E239640 E239668:E239676 E239704:E239712 E239740:E239748 E239776:E239784 E239812:E239820 E239848:E239856 E239884:E239892 E239920:E239928 E239956:E239964 E239992:E240000 E240028:E240036 E240064:E240072 E240100:E240108 E240136:E240144 E240172:E240180 E240208:E240216 E240244:E240252 E240280:E240288 E240316:E240324 E240352:E240360 E240388:E240396 E240424:E240432 E240460:E240468 E240496:E240504 E240532:E240540 E240568:E240576 E240604:E240612 E240640:E240648 E240676:E240684 E240712:E240720 E240748:E240756 E240784:E240792 E240820:E240828 E240856:E240864 E240892:E240900 E240928:E240936 E240964:E240972 E241000:E241008 E241036:E241044 E241072:E241080 E241108:E241116 E241144:E241152 E241180:E241188 E241216:E241224 E241252:E241260 E241288:E241296 E241324:E241332 E241360:E241368 E241396:E241404 E241432:E241440 E241468:E241476 E241504:E241512 E241540:E241548 E241576:E241584 E241612:E241620 E241648:E241656 E241684:E241692 E241720:E241728 E241756:E241764 E241792:E241800 E241828:E241836 E241864:E241872 E241900:E241908 E241936:E241944 E241972:E241980 E242008:E242016 E242044:E242052 E242080:E242088 E242116:E242124 E242152:E242160 E242188:E242196 E242224:E242232 E242260:E242268 E242296:E242304 E242332:E242340 E242368:E242376 E242404:E242412 E242440:E242448 E242476:E242484 E242512:E242520 E242548:E242556 E242584:E242592 E242620:E242628 E242656:E242664 E242692:E242700 E242728:E242736 E242764:E242772 E242800:E242808 E242836:E242844 E242872:E242880 E242908:E242916 E242944:E242952 E242980:E242988 E243016:E243024 E243052:E243060 E243088:E243096 E243124:E243132 E243160:E243168 E243196:E243204 E243232:E243240 E243268:E243276 E243304:E243312 E243340:E243348 E243376:E243384 E243412:E243420 E243448:E243456 E243484:E243492 E243520:E243528 E243556:E243564 E243592:E243600 E243628:E243636 E243664:E243672 E243700:E243708 E243736:E243744 E243772:E243780 E243808:E243816 E243844:E243852 E243880:E243888 E243916:E243924 E243952:E243960 E243988:E243996 E244024:E244032 E244060:E244068 E244096:E244104 E244132:E244140 E244168:E244176 E244204:E244212 E244240:E244248 E244276:E244284 E244312:E244320 E244348:E244356 E244384:E244392 E244420:E244428 E244456:E244464 E244492:E244500 E244528:E244536 E244564:E244572 E244600:E244608 E244636:E244644 E244672:E244680 E244708:E244716 E244744:E244752 E244780:E244788 E244816:E244824 E244852:E244860 E244888:E244896 E244924:E244932 E244960:E244968 E244996:E245004 E245032:E245040 E245068:E245076 E245104:E245112 E245140:E245148 E245176:E245184 E245212:E245220 E245248:E245256 E245284:E245292 E245320:E245328 E245356:E245364 E245392:E245400 E245428:E245436 E245464:E245472 E245500:E245508 E245536:E245544 E245572:E245580 E245608:E245616 E245644:E245652 E245680:E245688 E245716:E245724 E245752:E245760 E245788:E245796 E245824:E245832 E245860:E245868 E245896:E245904 E245932:E245940 E245968:E245976 E246004:E246012 E246040:E246048 E246076:E246084 E246112:E246120 E246148:E246156 E246184:E246192 E246220:E246228 E246256:E246264 E246292:E246300 E246328:E246336 E246364:E246372 E246400:E246408 E246436:E246444 E246472:E246480 E246508:E246516 E246544:E246552 E246580:E246588 E246616:E246624 E246652:E246660 E246688:E246696 E246724:E246732 E246760:E246768 E246796:E246804 E246832:E246840 E246868:E246876 E246904:E246912 E246940:E246948 E246976:E246984 E247012:E247020 E247048:E247056 E247084:E247092 E247120:E247128 E247156:E247164 E247192:E247200 E247228:E247236 E247264:E247272 E247300:E247308 E247336:E247344 E247372:E247380 E247408:E247416 E247444:E247452 E247480:E247488 E247516:E247524 E247552:E247560 E247588:E247596 E247624:E247632 E247660:E247668 E247696:E247704 E247732:E247740 E247768:E247776 E247804:E247812 E247840:E247848 E247876:E247884 E247912:E247920 E247948:E247956 E247984:E247992 E248020:E248028 E248056:E248064 E248092:E248100 E248128:E248136 E248164:E248172 E248200:E248208 E248236:E248244 E248272:E248280 E248308:E248316 E248344:E248352 E248380:E248388 E248416:E248424 E248452:E248460 E248488:E248496 E248524:E248532 E248560:E248568 E248596:E248604 E248632:E248640 E248668:E248676 E248704:E248712 E248740:E248748 E248776:E248784 E248812:E248820 E248848:E248856 E248884:E248892 E248920:E248928 E248956:E248964 E248992:E249000 E249028:E249036 E249064:E249072 E249100:E249108 E249136:E249144 E249172:E249180 E249208:E249216 E249244:E249252 E249280:E249288 E249316:E249324 E249352:E249360 E249388:E249396 E249424:E249432 E249460:E249468 E249496:E249504 E249532:E249540 E249568:E249576 E249604:E249612 E249640:E249648 E249676:E249684 E249712:E249720 E249748:E249756 E249784:E249792 E249820:E249828 E249856:E249864 E249892:E249900 E249928:E249936 E249964:E249972 E250000:E250008 E250036:E250044 E250072:E250080 E250108:E250116 E250144:E250152 E250180:E250188 E250216:E250224 E250252:E250260 E250288:E250296 E250324:E250332 E250360:E250368 E250396:E250404 E250432:E250440 E250468:E250476 E250504:E250512 E250540:E250548 E250576:E250584 E250612:E250620 E250648:E250656 E250684:E250692 E250720:E250728 E250756:E250764 E250792:E250800 E250828:E250836 E250864:E250872 E250900:E250908 E250936:E250944 E250972:E250980 E251008:E251016 E251044:E251052 E251080:E251088 E251116:E251124 E251152:E251160 E251188:E251196 E251224:E251232 E251260:E251268 E251296:E251304 E251332:E251340 E251368:E251376 E251404:E251412 E251440:E251448 E251476:E251484 E251512:E251520 E251548:E251556 E251584:E251592 E251620:E251628 E251656:E251664 E251692:E251700 E251728:E251736 E251764:E251772 E251800:E251808 E251836:E251844 E251872:E251880 E251908:E251916 E251944:E251952 E251980:E251988 E252016:E252024 E252052:E252060 E252088:E252096 E252124:E252132 E252160:E252168 E252196:E252204 E252232:E252240 E252268:E252276 E252304:E252312 E252340:E252348 E252376:E252384 E252412:E252420 E252448:E252456 E252484:E252492 E252520:E252528 E252556:E252564 E252592:E252600 E252628:E252636 E252664:E252672 E252700:E252708 E252736:E252744 E252772:E252780 E252808:E252816 E252844:E252852 E252880:E252888 E252916:E252924 E252952:E252960 E252988:E252996 E253024:E253032 E253060:E253068 E253096:E253104 E253132:E253140 E253168:E253176 E253204:E253212 E253240:E253248 E253276:E253284 E253312:E253320 E253348:E253356 E253384:E253392 E253420:E253428 E253456:E253464 E253492:E253500 E253528:E253536 E253564:E253572 E253600:E253608 E253636:E253644 E253672:E253680 E253708:E253716 E253744:E253752 E253780:E253788 E253816:E253824 E253852:E253860 E253888:E253896 E253924:E253932 E253960:E253968 E253996:E254004 E254032:E254040 E254068:E254076 E254104:E254112 E254140:E254148 E254176:E254184 E254212:E254220 E254248:E254256 E254284:E254292 E254320:E254328 E254356:E254364 E254392:E254400 E254428:E254436 E254464:E254472 E254500:E254508 E254536:E254544 E254572:E254580 E254608:E254616 E254644:E254652 E254680:E254688 E254716:E254724 E254752:E254760 E254788:E254796 E254824:E254832 E254860:E254868 E254896:E254904 E254932:E254940 E254968:E254976 E255004:E255012 E255040:E255048 E255076:E255084 E255112:E255120 E255148:E255156 E255184:E255192 E255220:E255228 E255256:E255264 E255292:E255300 E255328:E255336 E255364:E255372 E255400:E255408 E255436:E255444 E255472:E255480 E255508:E255516 E255544:E255552 E255580:E255588 E255616:E255624 E255652:E255660 E255688:E255696 E255724:E255732 E255760:E255768 E255796:E255804 E255832:E255840 E255868:E255876 E255904:E255912 E255940:E255948 E255976:E255984 E256012:E256020 E256048:E256056 E256084:E256092 E256120:E256128 E256156:E256164 E256192:E256200 E256228:E256236 E256264:E256272 E256300:E256308 E256336:E256344 E256372:E256380 E256408:E256416 E256444:E256452 E256480:E256488 E256516:E256524 E256552:E256560 E256588:E256596 E256624:E256632 E256660:E256668 E256696:E256704 E256732:E256740 E256768:E256776 E256804:E256812 E256840:E256848 E256876:E256884 E256912:E256920 E256948:E256956 E256984:E256992 E257020:E257028 E257056:E257064 E257092:E257100 E257128:E257136 E257164:E257172 E257200:E257208 E257236:E257244 E257272:E257280 E257308:E257316 E257344:E257352 E257380:E257388 E257416:E257424 E257452:E257460 E257488:E257496 E257524:E257532 E257560:E257568 E257596:E257604 E257632:E257640 E257668:E257676 E257704:E257712 E257740:E257748 E257776:E257784 E257812:E257820 E257848:E257856 E257884:E257892 E257920:E257928 E257956:E257964 E257992:E258000 E258028:E258036 E258064:E258072 E258100:E258108 E258136:E258144 E258172:E258180 E258208:E258216 E258244:E258252 E258280:E258288 E258316:E258324 E258352:E258360 E258388:E258396 E258424:E258432 E258460:E258468 E258496:E258504 E258532:E258540 E258568:E258576 E258604:E258612 E258640:E258648 E258676:E258684 E258712:E258720 E258748:E258756 E258784:E258792 E258820:E258828 E258856:E258864 E258892:E258900 E258928:E258936 E258964:E258972 E259000:E259008 E259036:E259044 E259072:E259080 E259108:E259116 E259144:E259152 E259180:E259188 E259216:E259224 E259252:E259260 E259288:E259296 E259324:E259332 E259360:E259368 E259396:E259404 E259432:E259440 E259468:E259476 E259504:E259512 E259540:E259548 E259576:E259584 E259612:E259620 E259648:E259656 E259684:E259692 E259720:E259728 E259756:E259764 E259792:E259800 E259828:E259836 E259864:E259872 E259900:E259908 E259936:E259944 E259972:E259980 E260008:E260016 E260044:E260052 E260080:E260088 E260116:E260124 E260152:E260160 E260188:E260196 E260224:E260232 E260260:E260268 E260296:E260304 E260332:E260340 E260368:E260376 E260404:E260412 E260440:E260448 E260476:E260484 E260512:E260520 E260548:E260556 E260584:E260592 E260620:E260628 E260656:E260664 E260692:E260700 E260728:E260736 E260764:E260772 E260800:E260808 E260836:E260844 E260872:E260880 E260908:E260916 E260944:E260952 E260980:E260988 E261016:E261024 E261052:E261060 E261088:E261096 E261124:E261132 E261160:E261168 E261196:E261204 E261232:E261240 E261268:E261276 E261304:E261312 E261340:E261348 E261376:E261384 E261412:E261420 E261448:E261456 E261484:E261492 E261520:E261528 E261556:E261564 E261592:E261600 E261628:E261636 E261664:E261672 E261700:E261708 E261736:E261744 E261772:E261780 E261808:E261816 E261844:E261852 E261880:E261888 E261916:E261924 E261952:E261960 E261988:E261996 E262024:E262032 E262060:E262068 E262096:E262104 E262132:E262140 E262168:E262176 E262204:E262212 E262240:E262248 E262276:E262284 E262312:E262320 E262348:E262356 E262384:E262392 E262420:E262428 E262456:E262464 E262492:E262500 E262528:E262536 E262564:E262572 E262600:E262608 E262636:E262644 E262672:E262680 E262708:E262716 E262744:E262752 E262780:E262788 E262816:E262824 E262852:E262860 E262888:E262896 E262924:E262932 E262960:E262968 E262996:E263004 E263032:E263040 E263068:E263076 E263104:E263112 E263140:E263148 E263176:E263184 E263212:E263220 E263248:E263256 E263284:E263292 E263320:E263328 E263356:E263364 E263392:E263400 E263428:E263436 E263464:E263472 E263500:E263508 E263536:E263544 E263572:E263580 E263608:E263616 E263644:E263652 E263680:E263688 E263716:E263724 E263752:E263760 E263788:E263796 E263824:E263832 E263860:E263868 E263896:E263904 E263932:E263940 E263968:E263976 E264004:E264012 E264040:E264048 E264076:E264084 E264112:E264120 E264148:E264156 E264184:E264192 E264220:E264228 E264256:E264264 E264292:E264300 E264328:E264336 E264364:E264372 E264400:E264408 E264436:E264444 E264472:E264480 E264508:E264516 E264544:E264552 E264580:E264588 E264616:E264624 E264652:E264660 E264688:E264696 E264724:E264732 E264760:E264768 E264796:E264804 E264832:E264840 E264868:E264876 E264904:E264912 E264940:E264948 E264976:E264984 E265012:E265020 E265048:E265056 E265084:E265092 E265120:E265128 E265156:E265164 E265192:E265200 E265228:E265236 E265264:E265272 E265300:E265308 E265336:E265344 E265372:E265380 E265408:E265416 E265444:E265452 E265480:E265488 E265516:E265524 E265552:E265560 E265588:E265596 E265624:E265632 E265660:E265668 E265696:E265704 E265732:E265740 E265768:E265776 E265804:E265812 E265840:E265848 E265876:E265884 E265912:E265920 E265948:E265956 E265984:E265992 E266020:E266028 E266056:E266064 E266092:E266100 E266128:E266136 E266164:E266172 E266200:E266208 E266236:E266244 E266272:E266280 E266308:E266316 E266344:E266352 E266380:E266388 E266416:E266424 E266452:E266460 E266488:E266496 E266524:E266532 E266560:E266568 E266596:E266604 E266632:E266640 E266668:E266676 E266704:E266712 E266740:E266748 E266776:E266784 E266812:E266820 E266848:E266856 E266884:E266892 E266920:E266928 E266956:E266964 E266992:E267000 E267028:E267036 E267064:E267072 E267100:E267108 E267136:E267144 E267172:E267180 E267208:E267216 E267244:E267252 E267280:E267288 E267316:E267324 E267352:E267360 E267388:E267396 E267424:E267432 E267460:E267468 E267496:E267504 E267532:E267540 E267568:E267576 E267604:E267612 E267640:E267648 E267676:E267684 E267712:E267720 E267748:E267756 E267784:E267792 E267820:E267828 E267856:E267864 E267892:E267900 E267928:E267936 E267964:E267972 E268000:E268008 E268036:E268044 E268072:E268080 E268108:E268116 E268144:E268152 E268180:E268188 E268216:E268224 E268252:E268260 E268288:E268296 E268324:E268332 E268360:E268368 E268396:E268404 E268432:E268440 E268468:E268476 E268504:E268512 E268540:E268548 E268576:E268584 E268612:E268620 E268648:E268656 E268684:E268692 E268720:E268728 E268756:E268764 E268792:E268800 E268828:E268836 E268864:E268872 E268900:E268908 E268936:E268944 E268972:E268980 E269008:E269016 E269044:E269052 E269080:E269088 E269116:E269124 E269152:E269160 E269188:E269196 E269224:E269232 E269260:E269268 E269296:E269304 E269332:E269340 E269368:E269376 E269404:E269412 E269440:E269448 E269476:E269484 E269512:E269520 E269548:E269556 E269584:E269592 E269620:E269628 E269656:E269664 E269692:E269700 E269728:E269736 E269764:E269772 E269800:E269808 E269836:E269844 E269872:E269880 E269908:E269916 E269944:E269952 E269980:E269988 E270016:E270024 E270052:E270060 E270088:E270096 E270124:E270132 E270160:E270168 E270196:E270204 E270232:E270240 E270268:E270276 E270304:E270312 E270340:E270348 E270376:E270384 E270412:E270420 E270448:E270456 E270484:E270492 E270520:E270528 E270556:E270564 E270592:E270600 E270628:E270636 E270664:E270672 E270700:E270708 E270736:E270744 E270772:E270780 E270808:E270816 E270844:E270852 E270880:E270888 E270916:E270924 E270952:E270960 E270988:E270996 E271024:E271032 E271060:E271068 E271096:E271104 E271132:E271140 E271168:E271176 E271204:E271212 E271240:E271248 E271276:E271284 E271312:E271320 E271348:E271356 E271384:E271392 E271420:E271428 E271456:E271464 E271492:E271500 E271528:E271536 E271564:E271572 E271600:E271608 E271636:E271644 E271672:E271680 E271708:E271716 E271744:E271752 E271780:E271788 E271816:E271824 E271852:E271860 E271888:E271896 E271924:E271932 E271960:E271968 E271996:E272004 E272032:E272040 E272068:E272076 E272104:E272112 E272140:E272148 E272176:E272184 E272212:E272220 E272248:E272256 E272284:E272292 E272320:E272328 E272356:E272364 E272392:E272400 E272428:E272436 E272464:E272472 E272500:E272508 E272536:E272544 E272572:E272580 E272608:E272616 E272644:E272652 E272680:E272688 E272716:E272724 E272752:E272760 E272788:E272796 E272824:E272832 E272860:E272868 E272896:E272904 E272932:E272940 E272968:E272976 E273004:E273012 E273040:E273048 E273076:E273084 E273112:E273120 E273148:E273156 E273184:E273192 E273220:E273228 E273256:E273264 E273292:E273300 E273328:E273336 E273364:E273372 E273400:E273408 E273436:E273444 E273472:E273480 E273508:E273516 E273544:E273552 E273580:E273588 E273616:E273624 E273652:E273660 E273688:E273696 E273724:E273732 E273760:E273768 E273796:E273804 E273832:E273840 E273868:E273876 E273904:E273912 E273940:E273948 E273976:E273984 E274012:E274020 E274048:E274056 E274084:E274092 E274120:E274128 E274156:E274164 E274192:E274200 E274228:E274236 E274264:E274272 E274300:E274308 E274336:E274344 E274372:E274380 E274408:E274416 E274444:E274452 E274480:E274488 E274516:E274524 E274552:E274560 E274588:E274596 E274624:E274632 E274660:E274668 E274696:E274704 E274732:E274740 E274768:E274776 E274804:E274812 E274840:E274848 E274876:E274884 E274912:E274920 E274948:E274956 E274984:E274992 E275020:E275028 E275056:E275064 E275092:E275100 E275128:E275136 E275164:E275172 E275200:E275208 E275236:E275244 E275272:E275280 E275308:E275316 E275344:E275352 E275380:E275388 E275416:E275424 E275452:E275460 E275488:E275496 E275524:E275532 E275560:E275568 E275596:E275604 E275632:E275640 E275668:E275676 E275704:E275712 E275740:E275748 E275776:E275784 E275812:E275820 E275848:E275856 E275884:E275892 E275920:E275928 E275956:E275964 E275992:E276000 E276028:E276036 E276064:E276072 E276100:E276108 E276136:E276144 E276172:E276180 E276208:E276216 E276244:E276252 E276280:E276288 E276316:E276324 E276352:E276360 E276388:E276396 E276424:E276432 E276460:E276468 E276496:E276504 E276532:E276540 E276568:E276576 E276604:E276612 E276640:E276648 E276676:E276684 E276712:E276720 E276748:E276756 E276784:E276792 E276820:E276828 E276856:E276864 E276892:E276900 E276928:E276936 E276964:E276972 E277000:E277008 E277036:E277044 E277072:E277080 E277108:E277116 E277144:E277152 E277180:E277188 E277216:E277224 E277252:E277260 E277288:E277296 E277324:E277332 E277360:E277368 E277396:E277404 E277432:E277440 E277468:E277476 E277504:E277512 E277540:E277548 E277576:E277584 E277612:E277620 E277648:E277656 E277684:E277692 E277720:E277728 E277756:E277764 E277792:E277800 E277828:E277836 E277864:E277872 E277900:E277908 E277936:E277944 E277972:E277980 E278008:E278016 E278044:E278052 E278080:E278088 E278116:E278124 E278152:E278160 E278188:E278196 E278224:E278232 E278260:E278268 E278296:E278304 E278332:E278340 E278368:E278376 E278404:E278412 E278440:E278448 E278476:E278484 E278512:E278520 E278548:E278556 E278584:E278592 E278620:E278628 E278656:E278664 E278692:E278700 E278728:E278736 E278764:E278772 E278800:E278808 E278836:E278844 E278872:E278880 E278908:E278916 E278944:E278952 E278980:E278988 E279016:E279024 E279052:E279060 E279088:E279096 E279124:E279132 E279160:E279168 E279196:E279204 E279232:E279240 E279268:E279276 E279304:E279312 E279340:E279348 E279376:E279384 E279412:E279420 E279448:E279456 E279484:E279492 E279520:E279528 E279556:E279564 E279592:E279600 E279628:E279636 E279664:E279672 E279700:E279708 E279736:E279744 E279772:E279780 E279808:E279816 E279844:E279852 E279880:E279888 E279916:E279924 E279952:E279960 E279988:E279996 E280024:E280032 E280060:E280068 E280096:E280104 E280132:E280140 E280168:E280176 E280204:E280212 E280240:E280248 E280276:E280284 E280312:E280320 E280348:E280356 E280384:E280392 E280420:E280428 E280456:E280464 E280492:E280500 E280528:E280536 E280564:E280572 E280600:E280608 E280636:E280644 E280672:E280680 E280708:E280716 E280744:E280752 E280780:E280788 E280816:E280824 E280852:E280860 E280888:E280896 E280924:E280932 E280960:E280968 E280996:E281004 E281032:E281040 E281068:E281076 E281104:E281112 E281140:E281148 E281176:E281184 E281212:E281220 E281248:E281256 E281284:E281292 E281320:E281328 E281356:E281364 E281392:E281400 E281428:E281436 E281464:E281472 E281500:E281508 E281536:E281544 E281572:E281580 E281608:E281616 E281644:E281652 E281680:E281688 E281716:E281724 E281752:E281760 E281788:E281796 E281824:E281832 E281860:E281868 E281896:E281904 E281932:E281940 E281968:E281976 E282004:E282012 E282040:E282048 E282076:E282084 E282112:E282120 E282148:E282156 E282184:E282192 E282220:E282228 E282256:E282264 E282292:E282300 E282328:E282336 E282364:E282372 E282400:E282408 E282436:E282444 E282472:E282480 E282508:E282516 E282544:E282552 E282580:E282588 E282616:E282624 E282652:E282660 E282688:E282696 E282724:E282732 E282760:E282768 E282796:E282804 E282832:E282840 E282868:E282876 E282904:E282912 E282940:E282948 E282976:E282984 E283012:E283020 E283048:E283056 E283084:E283092 E283120:E283128 E283156:E283164 E283192:E283200 E283228:E283236 E283264:E283272 E283300:E283308 E283336:E283344 E283372:E283380 E283408:E283416 E283444:E283452 E283480:E283488 E283516:E283524 E283552:E283560 E283588:E283596 E283624:E283632 E283660:E283668 E283696:E283704 E283732:E283740 E283768:E283776 E283804:E283812 E283840:E283848 E283876:E283884 E283912:E283920 E283948:E283956 E283984:E283992 E284020:E284028 E284056:E284064 E284092:E284100 E284128:E284136 E284164:E284172 E284200:E284208 E284236:E284244 E284272:E284280 E284308:E284316 E284344:E284352 E284380:E284388 E284416:E284424 E284452:E284460 E284488:E284496 E284524:E284532 E284560:E284568 E284596:E284604 E284632:E284640 E284668:E284676 E284704:E284712 E284740:E284748 E284776:E284784 E284812:E284820 E284848:E284856 E284884:E284892 E284920:E284928 E284956:E284964 E284992:E285000 E285028:E285036 E285064:E285072 E285100:E285108 E285136:E285144 E285172:E285180 E285208:E285216 E285244:E285252 E285280:E285288 E285316:E285324 E285352:E285360 E285388:E285396 E285424:E285432 E285460:E285468 E285496:E285504 E285532:E285540 E285568:E285576 E285604:E285612 E285640:E285648 E285676:E285684 E285712:E285720 E285748:E285756 E285784:E285792 E285820:E285828 E285856:E285864 E285892:E285900 E285928:E285936 E285964:E285972 E286000:E286008 E286036:E286044 E286072:E286080 E286108:E286116 E286144:E286152 E286180:E286188 E286216:E286224 E286252:E286260 E286288:E286296 E286324:E286332 E286360:E286368 E286396:E286404 E286432:E286440 E286468:E286476 E286504:E286512 E286540:E286548 E286576:E286584 E286612:E286620 E286648:E286656 E286684:E286692 E286720:E286728 E286756:E286764 E286792:E286800 E286828:E286836 E286864:E286872 E286900:E286908 E286936:E286944 E286972:E286980 E287008:E287016 E287044:E287052 E287080:E287088 E287116:E287124 E287152:E287160 E287188:E287196 E287224:E287232 E287260:E287268 E287296:E287304 E287332:E287340 E287368:E287376 E287404:E287412 E287440:E287448 E287476:E287484 E287512:E287520 E287548:E287556 E287584:E287592 E287620:E287628 E287656:E287664 E287692:E287700 E287728:E287736 E287764:E287772 E287800:E287808 E287836:E287844 E287872:E287880 E287908:E287916 E287944:E287952 E287980:E287988 E288016:E288024 E288052:E288060 E288088:E288096 E288124:E288132 E288160:E288168 E288196:E288204 E288232:E288240 E288268:E288276 E288304:E288312 E288340:E288348 E288376:E288384 E288412:E288420 E288448:E288456 E288484:E288492 E288520:E288528 E288556:E288564 E288592:E288600 E288628:E288636 E288664:E288672 E288700:E288708 E288736:E288744 E288772:E288780 E288808:E288816 E288844:E288852 E288880:E288888 E288916:E288924 E288952:E288960 E288988:E288996 E289024:E289032 E289060:E289068 E289096:E289104 E289132:E289140 E289168:E289176 E289204:E289212 E289240:E289248 E289276:E289284 E289312:E289320 E289348:E289356 E289384:E289392 E289420:E289428 E289456:E289464 E289492:E289500 E289528:E289536 E289564:E289572 E289600:E289608 E289636:E289644 E289672:E289680 E289708:E289716 E289744:E289752 E289780:E289788 E289816:E289824 E289852:E289860 E289888:E289896 E289924:E289932 E289960:E289968 E289996:E290004 E290032:E290040 E290068:E290076 E290104:E290112 E290140:E290148 E290176:E290184 E290212:E290220 E290248:E290256 E290284:E290292 E290320:E290328 E290356:E290364 E290392:E290400 E290428:E290436 E290464:E290472 E290500:E290508 E290536:E290544 E290572:E290580 E290608:E290616 E290644:E290652 E290680:E290688 E290716:E290724 E290752:E290760 E290788:E290796 E290824:E290832 E290860:E290868 E290896:E290904 E290932:E290940 E290968:E290976 E291004:E291012 E291040:E291048 E291076:E291084 E291112:E291120 E291148:E291156 E291184:E291192 E291220:E291228 E291256:E291264 E291292:E291300 E291328:E291336 E291364:E291372 E291400:E291408 E291436:E291444 E291472:E291480 E291508:E291516 E291544:E291552 E291580:E291588 E291616:E291624 E291652:E291660 E291688:E291696 E291724:E291732 E291760:E291768 E291796:E291804 E291832:E291840 E291868:E291876 E291904:E291912 E291940:E291948 E291976:E291984 E292012:E292020 E292048:E292056 E292084:E292092 E292120:E292128 E292156:E292164 E292192:E292200 E292228:E292236 E292264:E292272 E292300:E292308 E292336:E292344 E292372:E292380 E292408:E292416 E292444:E292452 E292480:E292488 E292516:E292524 E292552:E292560 E292588:E292596 E292624:E292632 E292660:E292668 E292696:E292704 E292732:E292740 E292768:E292776 E292804:E292812 E292840:E292848 E292876:E292884 E292912:E292920 E292948:E292956 E292984:E292992 E293020:E293028 E293056:E293064 E293092:E293100 E293128:E293136 E293164:E293172 E293200:E293208 E293236:E293244 E293272:E293280 E293308:E293316 E293344:E293352 E293380:E293388 E293416:E293424 E293452:E293460 E293488:E293496 E293524:E293532 E293560:E293568 E293596:E293604 E293632:E293640 E293668:E293676 E293704:E293712 E293740:E293748 E293776:E293784 E293812:E293820 E293848:E293856 E293884:E293892 E293920:E293928 E293956:E293964 E293992:E294000 E294028:E294036 E294064:E294072 E294100:E294108 E294136:E294144 E294172:E294180 E294208:E294216 E294244:E294252 E294280:E294288 E294316:E294324 E294352:E294360 E294388:E294396 E294424:E294432 E294460:E294468 E294496:E294504 E294532:E294540 E294568:E294576 E294604:E294612 E294640:E294648 E294676:E294684 E294712:E294720 E294748:E294756 E294784:E294792 E294820:E294828 E294856:E294864 E294892:E294900 E294928:E294936 E294964:E294972 E295000:E295008 E295036:E295044 E295072:E295080 E295108:E295116 E295144:E295152 E295180:E295188 E295216:E295224 E295252:E295260 E295288:E295296 E295324:E295332 E295360:E295368 E295396:E295404 E295432:E295440 E295468:E295476 E295504:E295512 E295540:E295548 E295576:E295584 E295612:E295620 E295648:E295656 E295684:E295692 E295720:E295728 E295756:E295764 E295792:E295800 E295828:E295836 E295864:E295872 E295900:E295908 E295936:E295944 E295972:E295980 E296008:E296016 E296044:E296052 E296080:E296088 E296116:E296124 E296152:E296160 E296188:E296196 E296224:E296232 E296260:E296268 E296296:E296304 E296332:E296340 E296368:E296376 E296404:E296412 E296440:E296448 E296476:E296484 E296512:E296520 E296548:E296556 E296584:E296592 E296620:E296628 E296656:E296664 E296692:E296700 E296728:E296736 E296764:E296772 E296800:E296808 E296836:E296844 E296872:E296880 E296908:E296916 E296944:E296952 E296980:E296988 E297016:E297024 E297052:E297060 E297088:E297096 E297124:E297132 E297160:E297168 E297196:E297204 E297232:E297240 E297268:E297276 E297304:E297312 E297340:E297348 E297376:E297384 E297412:E297420 E297448:E297456 E297484:E297492 E297520:E297528 E297556:E297564 E297592:E297600 E297628:E297636 E297664:E297672 E297700:E297708 E297736:E297744 E297772:E297780 E297808:E297816 E297844:E297852 E297880:E297888 E297916:E297924 E297952:E297960 E297988:E297996 E298024:E298032 E298060:E298068 E298096:E298104 E298132:E298140 E298168:E298176 E298204:E298212 E298240:E298248 E298276:E298284 E298312:E298320 E298348:E298356 E298384:E298392 E298420:E298428 E298456:E298464 E298492:E298500 E298528:E298536 E298564:E298572 E298600:E298608 E298636:E298644 E298672:E298680 E298708:E298716 E298744:E298752 E298780:E298788 E298816:E298824 E298852:E298860 E298888:E298896 E298924:E298932 E298960:E298968 E298996:E299004 E299032:E299040 E299068:E299076 E299104:E299112 E299140:E299148 E299176:E299184 E299212:E299220 E299248:E299256 E299284:E299292 E299320:E299328 E299356:E299364 E299392:E299400 E299428:E299436 E299464:E299472 E299500:E299508 E299536:E299544 E299572:E299580 E299608:E299616 E299644:E299652 E299680:E299688 E299716:E299724 E299752:E299760 E299788:E299796 E299824:E299832 E299860:E299868 E299896:E299904 E299932:E299940 E299968:E299976 E300004:E300012 E300040:E300048 E300076:E300084 E300112:E300120 E300148:E300156 E300184:E300192 E300220:E300228 E300256:E300264 E300292:E300300 E300328:E300336 E300364:E300372 E300400:E300408 E300436:E300444 E300472:E300480 E300508:E300516 E300544:E300552 E300580:E300588 E300616:E300624 E300652:E300660 E300688:E300696 E300724:E300732 E300760:E300768 E300796:E300804 E300832:E300840 E300868:E300876 E300904:E300912 E300940:E300948 E300976:E300984 E301012:E301020 E301048:E301056 E301084:E301092 E301120:E301128 E301156:E301164 E301192:E301200 E301228:E301236 E301264:E301272 E301300:E301308 E301336:E301344 E301372:E301380 E301408:E301416 E301444:E301452 E301480:E301488 E301516:E301524 E301552:E301560 E301588:E301596 E301624:E301632 E301660:E301668 E301696:E301704 E301732:E301740 E301768:E301776 E301804:E301812 E301840:E301848 E301876:E301884 E301912:E301920 E301948:E301956 E301984:E301992 E302020:E302028 E302056:E302064 E302092:E302100 E302128:E302136 E302164:E302172 E302200:E302208 E302236:E302244 E302272:E302280 E302308:E302316 E302344:E302352 E302380:E302388 E302416:E302424 E302452:E302460 E302488:E302496 E302524:E302532 E302560:E302568 E302596:E302604 E302632:E302640 E302668:E302676 E302704:E302712 E302740:E302748 E302776:E302784 E302812:E302820 E302848:E302856 E302884:E302892 E302920:E302928 E302956:E302964 E302992:E303000 E303028:E303036 E303064:E303072 E303100:E303108 E303136:E303144 E303172:E303180 E303208:E303216 E303244:E303252 E303280:E303288 E303316:E303324 E303352:E303360 E303388:E303396 E303424:E303432 E303460:E303468 E303496:E303504 E303532:E303540 E303568:E303576 E303604:E303612 E303640:E303648 E303676:E303684 E303712:E303720 E303748:E303756 E303784:E303792 E303820:E303828 E303856:E303864 E303892:E303900 E303928:E303936 E303964:E303972 E304000:E304008 E304036:E304044 E304072:E304080 E304108:E304116 E304144:E304152 E304180:E304188 E304216:E304224 E304252:E304260 E304288:E304296 E304324:E304332 E304360:E304368 E304396:E304404 E304432:E304440 E304468:E304476 E304504:E304512 E304540:E304548 E304576:E304584 E304612:E304620 E304648:E304656 E304684:E304692 E304720:E304728 E304756:E304764 E304792:E304800 E304828:E304836 E304864:E304872 E304900:E304908 E304936:E304944 E304972:E304980 E305008:E305016 E305044:E305052 E305080:E305088 E305116:E305124 E305152:E305160 E305188:E305196 E305224:E305232 E305260:E305268 E305296:E305304 E305332:E305340 E305368:E305376 E305404:E305412 E305440:E305448 E305476:E305484 E305512:E305520 E305548:E305556 E305584:E305592 E305620:E305628 E305656:E305664 E305692:E305700 E305728:E305736 E305764:E305772 E305800:E305808 E305836:E305844 E305872:E305880 E305908:E305916 E305944:E305952 E305980:E305988 E306016:E306024 E306052:E306060 E306088:E306096 E306124:E306132 E306160:E306168 E306196:E306204 E306232:E306240 E306268:E306276 E306304:E306312 E306340:E306348 E306376:E306384 E306412:E306420 E306448:E306456 E306484:E306492 E306520:E306528 E306556:E306564 E306592:E306600 E306628:E306636 E306664:E306672 E306700:E306708 E306736:E306744 E306772:E306780 E306808:E306816 E306844:E306852 E306880:E306888 E306916:E306924 E306952:E306960 E306988:E306996 E307024:E307032 E307060:E307068 E307096:E307104 E307132:E307140 E307168:E307176 E307204:E307212 E307240:E307248 E307276:E307284 E307312:E307320 E307348:E307356 E307384:E307392 E307420:E307428 E307456:E307464 E307492:E307500 E307528:E307536 E307564:E307572 E307600:E307608 E307636:E307644 E307672:E307680 E307708:E307716 E307744:E307752 E307780:E307788 E307816:E307824 E307852:E307860 E307888:E307896 E307924:E307932 E307960:E307968 E307996:E308004 E308032:E308040 E308068:E308076 E308104:E308112 E308140:E308148 E308176:E308184 E308212:E308220 E308248:E308256 E308284:E308292 E308320:E308328 E308356:E308364 E308392:E308400 E308428:E308436 E308464:E308472 E308500:E308508 E308536:E308544 E308572:E308580 E308608:E308616 E308644:E308652 E308680:E308688 E308716:E308724 E308752:E308760 E308788:E308796 E308824:E308832 E308860:E308868 E308896:E308904 E308932:E308940 E308968:E308976 E309004:E309012 E309040:E309048 E309076:E309084 E309112:E309120 E309148:E309156 E309184:E309192 E309220:E309228 E309256:E309264 E309292:E309300 E309328:E309336 E309364:E309372 E309400:E309408 E309436:E309444 E309472:E309480 E309508:E309516 E309544:E309552 E309580:E309588 E309616:E309624 E309652:E309660 E309688:E309696 E309724:E309732 E309760:E309768 E309796:E309804 E309832:E309840 E309868:E309876 E309904:E309912 E309940:E309948 E309976:E309984 E310012:E310020 E310048:E310056 E310084:E310092 E310120:E310128 E310156:E310164 E310192:E310200 E310228:E310236 E310264:E310272 E310300:E310308 E310336:E310344 E310372:E310380 E310408:E310416 E310444:E310452 E310480:E310488 E310516:E310524 E310552:E310560 E310588:E310596 E310624:E310632 E310660:E310668 E310696:E310704 E310732:E310740 E310768:E310776 E310804:E310812 E310840:E310848 E310876:E310884 E310912:E310920 E310948:E310956 E310984:E310992 E311020:E311028 E311056:E311064 E311092:E311100 E311128:E311136 E311164:E311172 E311200:E311208 E311236:E311244 E311272:E311280 E311308:E311316 E311344:E311352 E311380:E311388 E311416:E311424 E311452:E311460 E311488:E311496 E311524:E311532 E311560:E311568 E311596:E311604 E311632:E311640 E311668:E311676 E311704:E311712 E311740:E311748 E311776:E311784 E311812:E311820 E311848:E311856 E311884:E311892 E311920:E311928 E311956:E311964 E311992:E312000 E312028:E312036 E312064:E312072 E312100:E312108 E312136:E312144 E312172:E312180 E312208:E312216 E312244:E312252 E312280:E312288 E312316:E312324 E312352:E312360 E312388:E312396 E312424:E312432 E312460:E312468 E312496:E312504 E312532:E312540 E312568:E312576 E312604:E312612 E312640:E312648 E312676:E312684 E312712:E312720 E312748:E312756 E312784:E312792 E312820:E312828 E312856:E312864 E312892:E312900 E312928:E312936 E312964:E312972 E313000:E313008 E313036:E313044 E313072:E313080 E313108:E313116 E313144:E313152 E313180:E313188 E313216:E313224 E313252:E313260 E313288:E313296 E313324:E313332 E313360:E313368 E313396:E313404 E313432:E313440 E313468:E313476 E313504:E313512 E313540:E313548 E313576:E313584 E313612:E313620 E313648:E313656 E313684:E313692 E313720:E313728 E313756:E313764 E313792:E313800 E313828:E313836 E313864:E313872 E313900:E313908 E313936:E313944 E313972:E313980 E314008:E314016 E314044:E314052 E314080:E314088 E314116:E314124 E314152:E314160 E314188:E314196 E314224:E314232 E314260:E314268 E314296:E314304 E314332:E314340 E314368:E314376 E314404:E314412 E314440:E314448 E314476:E314484 E314512:E314520 E314548:E314556 E314584:E314592 E314620:E314628 E314656:E314664 E314692:E314700 E314728:E314736 E314764:E314772 E314800:E314808 E314836:E314844 E314872:E314880 E314908:E314916 E314944:E314952 E314980:E314988 E315016:E315024 E315052:E315060 E315088:E315096 E315124:E315132 E315160:E315168 E315196:E315204 E315232:E315240 E315268:E315276 E315304:E315312 E315340:E315348 E315376:E315384 E315412:E315420 E315448:E315456 E315484:E315492 E315520:E315528 E315556:E315564 E315592:E315600 E315628:E315636 E315664:E315672 E315700:E315708 E315736:E315744 E315772:E315780 E315808:E315816 E315844:E315852 E315880:E315888 E315916:E315924 E315952:E315960 E315988:E315996 E316024:E316032 E316060:E316068 E316096:E316104 E316132:E316140 E316168:E316176 E316204:E316212 E316240:E316248 E316276:E316284 E316312:E316320 E316348:E316356 E316384:E316392 E316420:E316428 E316456:E316464 E316492:E316500 E316528:E316536 E316564:E316572 E316600:E316608 E316636:E316644 E316672:E316680 E316708:E316716 E316744:E316752 E316780:E316788 E316816:E316824 E316852:E316860 E316888:E316896 E316924:E316932 E316960:E316968 E316996:E317004 E317032:E317040 E317068:E317076 E317104:E317112 E317140:E317148 E317176:E317184 E317212:E317220 E317248:E317256 E317284:E317292 E317320:E317328 E317356:E317364 E317392:E317400 E317428:E317436 E317464:E317472 E317500:E317508 E317536:E317544 E317572:E317580 E317608:E317616 E317644:E317652 E317680:E317688 E317716:E317724 E317752:E317760 E317788:E317796 E317824:E317832 E317860:E317868 E317896:E317904 E317932:E317940 E317968:E317976 E318004:E318012 E318040:E318048 E318076:E318084 E318112:E318120 E318148:E318156 E318184:E318192 E318220:E318228 E318256:E318264 E318292:E318300 E318328:E318336 E318364:E318372 E318400:E318408 E318436:E318444 E318472:E318480 E318508:E318516 E318544:E318552 E318580:E318588 E318616:E318624 E318652:E318660 E318688:E318696 E318724:E318732 E318760:E318768 E318796:E318804 E318832:E318840 E318868:E318876 E318904:E318912 E318940:E318948 E318976:E318984 E319012:E319020 E319048:E319056 E319084:E319092 E319120:E319128 E319156:E319164 E319192:E319200 E319228:E319236 E319264:E319272 E319300:E319308 E319336:E319344 E319372:E319380 E319408:E319416 E319444:E319452 E319480:E319488 E319516:E319524 E319552:E319560 E319588:E319596 E319624:E319632 E319660:E319668 E319696:E319704 E319732:E319740 E319768:E319776 E319804:E319812 E319840:E319848 E319876:E319884 E319912:E319920 E319948:E319956 E319984:E319992 E320020:E320028 E320056:E320064 E320092:E320100 E320128:E320136 E320164:E320172 E320200:E320208 E320236:E320244 E320272:E320280 E320308:E320316 E320344:E320352 E320380:E320388 E320416:E320424 E320452:E320460 E320488:E320496 E320524:E320532 E320560:E320568 E320596:E320604 E320632:E320640 E320668:E320676 E320704:E320712 E320740:E320748 E320776:E320784 E320812:E320820 E320848:E320856 E320884:E320892 E320920:E320928 E320956:E320964 E320992:E321000 E321028:E321036 E321064:E321072 E321100:E321108 E321136:E321144 E321172:E321180 E321208:E321216 E321244:E321252 E321280:E321288 E321316:E321324 E321352:E321360 E321388:E321396 E321424:E321432 E321460:E321468 E321496:E321504 E321532:E321540 E321568:E321576 E321604:E321612 E321640:E321648 E321676:E321684 E321712:E321720 E321748:E321756 E321784:E321792 E321820:E321828 E321856:E321864 E321892:E321900 E321928:E321936 E321964:E321972 E322000:E322008 E322036:E322044 E322072:E322080 E322108:E322116 E322144:E322152 E322180:E322188 E322216:E322224 E322252:E322260 E322288:E322296 E322324:E322332 E322360:E322368 E322396:E322404 E322432:E322440 E322468:E322476 E322504:E322512 E322540:E322548 E322576:E322584 E322612:E322620 E322648:E322656 E322684:E322692 E322720:E322728 E322756:E322764 E322792:E322800 E322828:E322836 E322864:E322872 E322900:E322908 E322936:E322944 E322972:E322980 E323008:E323016 E323044:E323052 E323080:E323088 E323116:E323124 E323152:E323160 E323188:E323196 E323224:E323232 E323260:E323268 E323296:E323304 E323332:E323340 E323368:E323376 E323404:E323412 E323440:E323448 E323476:E323484 E323512:E323520 E323548:E323556 E323584:E323592 E323620:E323628 E323656:E323664 E323692:E323700 E323728:E323736 E323764:E323772 E323800:E323808 E323836:E323844 E323872:E323880 E323908:E323916 E323944:E323952 E323980:E323988 E324016:E324024 E324052:E324060 E324088:E324096 E324124:E324132 E324160:E324168 E324196:E324204 E324232:E324240 E324268:E324276 E324304:E324312 E324340:E324348 E324376:E324384 E324412:E324420 E324448:E324456 E324484:E324492 E324520:E324528 E324556:E324564 E324592:E324600 E324628:E324636 E324664:E324672 E324700:E324708 E324736:E324744 E324772:E324780 E324808:E324816 E324844:E324852 E324880:E324888 E324916:E324924 E324952:E324960 E324988:E324996 E325024:E325032 E325060:E325068 E325096:E325104 E325132:E325140 E325168:E325176 E325204:E325212 E325240:E325248 E325276:E325284 E325312:E325320 E325348:E325356 E325384:E325392 E325420:E325428 E325456:E325464 E325492:E325500 E325528:E325536 E325564:E325572 E325600:E325608 E325636:E325644 E325672:E325680 E325708:E325716 E325744:E325752 E325780:E325788 E325816:E325824 E325852:E325860 E325888:E325896 E325924:E325932 E325960:E325968 E325996:E326004 E326032:E326040 E326068:E326076 E326104:E326112 E326140:E326148 E326176:E326184 E326212:E326220 E326248:E326256 E326284:E326292 E326320:E326328 E326356:E326364 E326392:E326400 E326428:E326436 E326464:E326472 E326500:E326508 E326536:E326544 E326572:E326580 E326608:E326616 E326644:E326652 E326680:E326688 E326716:E326724 E326752:E326760 E326788:E326796 E326824:E326832 E326860:E326868 E326896:E326904 E326932:E326940 E326968:E326976 E327004:E327012 E327040:E327048 E327076:E327084 E327112:E327120 E327148:E327156 E327184:E327192 E327220:E327228 E327256:E327264 E327292:E327300 E327328:E327336 E327364:E327372 E327400:E327408 E327436:E327444 E327472:E327480 E327508:E327516 E327544:E327552 E327580:E327588 E327616:E327624 E327652:E327660 E327688:E327696 E327724:E327732 E327760:E327768 E327796:E327804 E327832:E327840 E327868:E327876 E327904:E327912 E327940:E327948 E327976:E327984 E328012:E328020 E328048:E328056 E328084:E328092 E328120:E328128 E328156:E328164 E328192:E328200 E328228:E328236 E328264:E328272 E328300:E328308 E328336:E328344 E328372:E328380 E328408:E328416 E328444:E328452 E328480:E328488 E328516:E328524 E328552:E328560 E328588:E328596 E328624:E328632 E328660:E328668 E328696:E328704 E328732:E328740 E328768:E328776 E328804:E328812 E328840:E328848 E328876:E328884 E328912:E328920 E328948:E328956 E328984:E328992 E329020:E329028 E329056:E329064 E329092:E329100 E329128:E329136 E329164:E329172 E329200:E329208 E329236:E329244 E329272:E329280 E329308:E329316 E329344:E329352 E329380:E329388 E329416:E329424 E329452:E329460 E329488:E329496 E329524:E329532 E329560:E329568 E329596:E329604 E329632:E329640 E329668:E329676 E329704:E329712 E329740:E329748 E329776:E329784 E329812:E329820 E329848:E329856 E329884:E329892 E329920:E329928 E329956:E329964 E329992:E330000 E330028:E330036 E330064:E330072 E330100:E330108 E330136:E330144 E330172:E330180 E330208:E330216 E330244:E330252 E330280:E330288 E330316:E330324 E330352:E330360 E330388:E330396 E330424:E330432 E330460:E330468 E330496:E330504 E330532:E330540 E330568:E330576 E330604:E330612 E330640:E330648 E330676:E330684 E330712:E330720 E330748:E330756 E330784:E330792 E330820:E330828 E330856:E330864 E330892:E330900 E330928:E330936 E330964:E330972 E331000:E331008 E331036:E331044 E331072:E331080 E331108:E331116 E331144:E331152 E331180:E331188 E331216:E331224 E331252:E331260 E331288:E331296 E331324:E331332 E331360:E331368 E331396:E331404 E331432:E331440 E331468:E331476 E331504:E331512 E331540:E331548 E331576:E331584 E331612:E331620 E331648:E331656 E331684:E331692 E331720:E331728 E331756:E331764 E331792:E331800 E331828:E331836 E331864:E331872 E331900:E331908 E331936:E331944 E331972:E331980 E332008:E332016 E332044:E332052 E332080:E332088 E332116:E332124 E332152:E332160 E332188:E332196 E332224:E332232 E332260:E332268 E332296:E332304 E332332:E332340 E332368:E332376 E332404:E332412 E332440:E332448 E332476:E332484 E332512:E332520 E332548:E332556 E332584:E332592 E332620:E332628 E332656:E332664 E332692:E332700 E332728:E332736 E332764:E332772 E332800:E332808 E332836:E332844 E332872:E332880 E332908:E332916 E332944:E332952 E332980:E332988 E333016:E333024 E333052:E333060 E333088:E333096 E333124:E333132 E333160:E333168 E333196:E333204 E333232:E333240 E333268:E333276 E333304:E333312 E333340:E333348 E333376:E333384 E333412:E333420 E333448:E333456 E333484:E333492 E333520:E333528 E333556:E333564 E333592:E333600 E333628:E333636 E333664:E333672 E333700:E333708 E333736:E333744 E333772:E333780 E333808:E333816 E333844:E333852 E333880:E333888 E333916:E333924 E333952:E333960 E333988:E333996 E334024:E334032 E334060:E334068 E334096:E334104 E334132:E334140 E334168:E334176 E334204:E334212 E334240:E334248 E334276:E334284 E334312:E334320 E334348:E334356 E334384:E334392 E334420:E334428 E334456:E334464 E334492:E334500 E334528:E334536 E334564:E334572 E334600:E334608 E334636:E334644 E334672:E334680 E334708:E334716 E334744:E334752 E334780:E334788 E334816:E334824 E334852:E334860 E334888:E334896 E334924:E334932 E334960:E334968 E334996:E335004 E335032:E335040 E335068:E335076 E335104:E335112 E335140:E335148 E335176:E335184 E335212:E335220 E335248:E335256 E335284:E335292 E335320:E335328 E335356:E335364 E335392:E335400 E335428:E335436 E335464:E335472 E335500:E335508 E335536:E335544 E335572:E335580 E335608:E335616 E335644:E335652 E335680:E335688 E335716:E335724 E335752:E335760 E335788:E335796 E335824:E335832 E335860:E335868 E335896:E335904 E335932:E335940 E335968:E335976 E336004:E336012 E336040:E336048 E336076:E336084 E336112:E336120 E336148:E336156 E336184:E336192 E336220:E336228 E336256:E336264 E336292:E336300 E336328:E336336 E336364:E336372 E336400:E336408 E336436:E336444 E336472:E336480 E336508:E336516 E336544:E336552 E336580:E336588 E336616:E336624 E336652:E336660 E336688:E336696 E336724:E336732 E336760:E336768 E336796:E336804 E336832:E336840 E336868:E336876 E336904:E336912 E336940:E336948 E336976:E336984 E337012:E337020 E337048:E337056 E337084:E337092 E337120:E337128 E337156:E337164 E337192:E337200 E337228:E337236 E337264:E337272 E337300:E337308 E337336:E337344 E337372:E337380 E337408:E337416 E337444:E337452 E337480:E337488 E337516:E337524 E337552:E337560 E337588:E337596 E337624:E337632 E337660:E337668 E337696:E337704 E337732:E337740 E337768:E337776 E337804:E337812 E337840:E337848 E337876:E337884 E337912:E337920 E337948:E337956 E337984:E337992 E338020:E338028 E338056:E338064 E338092:E338100 E338128:E338136 E338164:E338172 E338200:E338208 E338236:E338244 E338272:E338280 E338308:E338316 E338344:E338352 E338380:E338388 E338416:E338424 E338452:E338460 E338488:E338496 E338524:E338532 E338560:E338568 E338596:E338604 E338632:E338640 E338668:E338676 E338704:E338712 E338740:E338748 E338776:E338784 E338812:E338820 E338848:E338856 E338884:E338892 E338920:E338928 E338956:E338964 E338992:E339000 E339028:E339036 E339064:E339072 E339100:E339108 E339136:E339144 E339172:E339180 E339208:E339216 E339244:E339252 E339280:E339288 E339316:E339324 E339352:E339360 E339388:E339396 E339424:E339432 E339460:E339468 E339496:E339504 E339532:E339540 E339568:E339576 E339604:E339612 E339640:E339648 E339676:E339684 E339712:E339720 E339748:E339756 E339784:E339792 E339820:E339828 E339856:E339864 E339892:E339900 E339928:E339936 E339964:E339972 E340000:E340008 E340036:E340044 E340072:E340080 E340108:E340116 E340144:E340152 E340180:E340188 E340216:E340224 E340252:E340260 E340288:E340296 E340324:E340332 E340360:E340368 E340396:E340404 E340432:E340440 E340468:E340476 E340504:E340512 E340540:E340548 E340576:E340584 E340612:E340620 E340648:E340656 E340684:E340692 E340720:E340728 E340756:E340764 E340792:E340800 E340828:E340836 E340864:E340872 E340900:E340908 E340936:E340944 E340972:E340980 E341008:E341016 E341044:E341052 E341080:E341088 E341116:E341124 E341152:E341160 E341188:E341196 E341224:E341232 E341260:E341268 E341296:E341304 E341332:E341340 E341368:E341376 E341404:E341412 E341440:E341448 E341476:E341484 E341512:E341520 E341548:E341556 E341584:E341592 E341620:E341628 E341656:E341664 E341692:E341700 E341728:E341736 E341764:E341772 E341800:E341808 E341836:E341844 E341872:E341880 E341908:E341916 E341944:E341952 E341980:E341988 E342016:E342024 E342052:E342060 E342088:E342096 E342124:E342132 E342160:E342168 E342196:E342204 E342232:E342240 E342268:E342276 E342304:E342312 E342340:E342348 E342376:E342384 E342412:E342420 E342448:E342456 E342484:E342492 E342520:E342528 E342556:E342564 E342592:E342600 E342628:E342636 E342664:E342672 E342700:E342708 E342736:E342744 E342772:E342780 E342808:E342816 E342844:E342852 E342880:E342888 E342916:E342924 E342952:E342960 E342988:E342996 E343024:E343032 E343060:E343068 E343096:E343104 E343132:E343140 E343168:E343176 E343204:E343212 E343240:E343248 E343276:E343284 E343312:E343320 E343348:E343356 E343384:E343392 E343420:E343428 E343456:E343464 E343492:E343500 E343528:E343536 E343564:E343572 E343600:E343608 E343636:E343644 E343672:E343680 E343708:E343716 E343744:E343752 E343780:E343788 E343816:E343824 E343852:E343860 E343888:E343896 E343924:E343932 E343960:E343968 E343996:E344004 E344032:E344040 E344068:E344076 E344104:E344112 E344140:E344148 E344176:E344184 E344212:E344220 E344248:E344256 E344284:E344292 E344320:E344328 E344356:E344364 E344392:E344400 E344428:E344436 E344464:E344472 E344500:E344508 E344536:E344544 E344572:E344580 E344608:E344616 E344644:E344652 E344680:E344688 E344716:E344724 E344752:E344760 E344788:E344796 E344824:E344832 E344860:E344868 E344896:E344904 E344932:E344940 E344968:E344976 E345004:E345012 E345040:E345048 E345076:E345084 E345112:E345120 E345148:E345156 E345184:E345192 E345220:E345228 E345256:E345264 E345292:E345300 E345328:E345336 E345364:E345372 E345400:E345408 E345436:E345444 E345472:E345480 E345508:E345516 E345544:E345552 E345580:E345588 E345616:E345624 E345652:E345660 E345688:E345696 E345724:E345732 E345760:E345768 E345796:E345804 E345832:E345840 E345868:E345876 E345904:E345912 E345940:E345948 E345976:E345984 E346012:E346020 E346048:E346056 E346084:E346092 E346120:E346128 E346156:E346164 E346192:E346200 E346228:E346236 E346264:E346272 E346300:E346308 E346336:E346344 E346372:E346380 E346408:E346416 E346444:E346452 E346480:E346488 E346516:E346524 E346552:E346560 E346588:E346596 E346624:E346632 E346660:E346668 E346696:E346704 E346732:E346740 E346768:E346776 E346804:E346812 E346840:E346848 E346876:E346884 E346912:E346920 E346948:E346956 E346984:E346992 E347020:E347028 E347056:E347064 E347092:E347100 E347128:E347136 E347164:E347172 E347200:E347208 E347236:E347244 E347272:E347280 E347308:E347316 E347344:E347352 E347380:E347388 E347416:E347424 E347452:E347460 E347488:E347496 E347524:E347532 E347560:E347568 E347596:E347604 E347632:E347640 E347668:E347676 E347704:E347712 E347740:E347748 E347776:E347784 E347812:E347820 E347848:E347856 E347884:E347892 E347920:E347928 E347956:E347964 E347992:E348000 E348028:E348036 E348064:E348072 E348100:E348108 E348136:E348144 E348172:E348180 E348208:E348216 E348244:E348252 E348280:E348288 E348316:E348324 E348352:E348360 E348388:E348396 E348424:E348432 E348460:E348468 E348496:E348504 E348532:E348540 E348568:E348576 E348604:E348612 E348640:E348648 E348676:E348684 E348712:E348720 E348748:E348756 E348784:E348792 E348820:E348828 E348856:E348864 E348892:E348900 E348928:E348936 E348964:E348972 E349000:E349008 E349036:E349044 E349072:E349080 E349108:E349116 E349144:E349152 E349180:E349188 E349216:E349224 E349252:E349260 E349288:E349296 E349324:E349332 E349360:E349368 E349396:E349404 E349432:E349440 E349468:E349476 E349504:E349512 E349540:E349548 E349576:E349584 E349612:E349620 E349648:E349656 E349684:E349692 E349720:E349728 E349756:E349764 E349792:E349800 E349828:E349836 E349864:E349872 E349900:E349908 E349936:E349944 E349972:E349980 E350008:E350016 E350044:E350052 E350080:E350088 E350116:E350124 E350152:E350160 E350188:E350196 E350224:E350232 E350260:E350268 E350296:E350304 E350332:E350340 E350368:E350376 E350404:E350412 E350440:E350448 E350476:E350484 E350512:E350520 E350548:E350556 E350584:E350592 E350620:E350628 E350656:E350664 E350692:E350700 E350728:E350736 E350764:E350772 E350800:E350808 E350836:E350844 E350872:E350880 E350908:E350916 E350944:E350952 E350980:E350988 E351016:E351024 E351052:E351060 E351088:E351096 E351124:E351132 E351160:E351168 E351196:E351204 E351232:E351240 E351268:E351276 E351304:E351312 E351340:E351348 E351376:E351384 E351412:E351420 E351448:E351456 E351484:E351492 E351520:E351528 E351556:E351564 E351592:E351600 E351628:E351636 E351664:E351672 E351700:E351708 E351736:E351744 E351772:E351780 E351808:E351816 E351844:E351852 E351880:E351888 E351916:E351924 E351952:E351960 E351988:E351996 E352024:E352032 E352060:E352068 E352096:E352104 E352132:E352140 E352168:E352176 E352204:E352212 E352240:E352248 E352276:E352284 E352312:E352320 E352348:E352356 E352384:E352392 E352420:E352428 E352456:E352464 E352492:E352500 E352528:E352536 E352564:E352572 E352600:E352608 E352636:E352644 E352672:E352680 E352708:E352716 E352744:E352752 E352780:E352788 E352816:E352824 E352852:E352860 E352888:E352896 E352924:E352932 E352960:E352968 E352996:E353004 E353032:E353040 E353068:E353076 E353104:E353112 E353140:E353148 E353176:E353184 E353212:E353220 E353248:E353256 E353284:E353292 E353320:E353328 E353356:E353364 E353392:E353400 E353428:E353436 E353464:E353472 E353500:E353508 E353536:E353544 E353572:E353580 E353608:E353616 E353644:E353652 E353680:E353688 E353716:E353724 E353752:E353760 E353788:E353796 E353824:E353832 E353860:E353868 E353896:E353904 E353932:E353940 E353968:E353976 E354004:E354012 E354040:E354048 E354076:E354084 E354112:E354120 E354148:E354156 E354184:E354192 E354220:E354228 E354256:E354264 E354292:E354300 E354328:E354336 E354364:E354372 E354400:E354408 E354436:E354444 E354472:E354480 E354508:E354516 E354544:E354552 E354580:E354588 E354616:E354624 E354652:E354660 E354688:E354696 E354724:E354732 E354760:E354768 E354796:E354804 E354832:E354840 E354868:E354876 E354904:E354912 E354940:E354948 E354976:E354984 E355012:E355020 E355048:E355056 E355084:E355092 E355120:E355128 E355156:E355164 E355192:E355200 E355228:E355236 E355264:E355272 E355300:E355308 E355336:E355344 E355372:E355380 E355408:E355416 E355444:E355452 E355480:E355488 E355516:E355524 E355552:E355560 E355588:E355596 E355624:E355632 E355660:E355668 E355696:E355704 E355732:E355740 E355768:E355776 E355804:E355812 E355840:E355848 E355876:E355884 E355912:E355920 E355948:E355956 E355984:E355992 E356020:E356028 E356056:E356064 E356092:E356100 E356128:E356136 E356164:E356172 E356200:E356208 E356236:E356244 E356272:E356280 E356308:E356316 E356344:E356352 E356380:E356388 E356416:E356424 E356452:E356460 E356488:E356496 E356524:E356532 E356560:E356568 E356596:E356604 E356632:E356640 E356668:E356676 E356704:E356712 E356740:E356748 E356776:E356784 E356812:E356820 E356848:E356856 E356884:E356892 E356920:E356928 E356956:E356964 E356992:E357000 E357028:E357036 E357064:E357072 E357100:E357108 E357136:E357144 E357172:E357180 E357208:E357216 E357244:E357252 E357280:E357288 E357316:E357324 E357352:E357360 E357388:E357396 E357424:E357432 E357460:E357468 E357496:E357504 E357532:E357540 E357568:E357576 E357604:E357612 E357640:E357648 E357676:E357684 E357712:E357720 E357748:E357756 E357784:E357792 E357820:E357828 E357856:E357864 E357892:E357900 E357928:E357936 E357964:E357972 E358000:E358008 E358036:E358044 E358072:E358080 E358108:E358116 E358144:E358152 E358180:E358188 E358216:E358224 E358252:E358260 E358288:E358296 E358324:E358332 E358360:E358368 E358396:E358404 E358432:E358440 E358468:E358476 E358504:E358512 E358540:E358548 E358576:E358584 E358612:E358620 E358648:E358656 E358684:E358692 E358720:E358728 E358756:E358764 E358792:E358800 E358828:E358836 E358864:E358872 E358900:E358908 E358936:E358944 E358972:E358980 E359008:E359016 E359044:E359052 E359080:E359088 E359116:E359124 E359152:E359160 E359188:E359196 E359224:E359232 E359260:E359268 E359296:E359304 E359332:E359340 E359368:E359376 E359404:E359412 E359440:E359448 E359476:E359484 E359512:E359520 E359548:E359556 E359584:E359592 E359620:E359628 E359656:E359664 E359692:E359700 E359728:E359736 E359764:E359772 E359800:E359808 E359836:E359844 E359872:E359880 E359908:E359916 E359944:E359952 E359980:E359988 E360016:E360024 E360052:E360060 E360088:E360096 E360124:E360132 E360160:E360168 E360196:E360204 E360232:E360240 E360268:E360276 E360304:E360312 E360340:E360348 E360376:E360384 E360412:E360420 E360448:E360456 E360484:E360492 E360520:E360528 E360556:E360564 E360592:E360600 E360628:E360636 E360664:E360672 E360700:E360708 E360736:E360744 E360772:E360780 E360808:E360816 E360844:E360852 E360880:E360888 E360916:E360924 E360952:E360960 E360988:E360996 E361024:E361032 E361060:E361068 E361096:E361104 E361132:E361140 E361168:E361176 E361204:E361212 E361240:E361248 E361276:E361284 E361312:E361320 E361348:E361356 E361384:E361392 E361420:E361428 E361456:E361464 E361492:E361500 E361528:E361536 E361564:E361572 E361600:E361608 E361636:E361644 E361672:E361680 E361708:E361716 E361744:E361752 E361780:E361788 E361816:E361824 E361852:E361860 E361888:E361896 E361924:E361932 E361960:E361968 E361996:E362004 E362032:E362040 E362068:E362076 E362104:E362112 E362140:E362148 E362176:E362184 E362212:E362220 E362248:E362256 E362284:E362292 E362320:E362328 E362356:E362364 E362392:E362400 E362428:E362436 E362464:E362472 E362500:E362508 E362536:E362544 E362572:E362580 E362608:E362616 E362644:E362652 E362680:E362688 E362716:E362724 E362752:E362760 E362788:E362796 E362824:E362832 E362860:E362868 E362896:E362904 E362932:E362940 E362968:E362976 E363004:E363012 E363040:E363048 E363076:E363084 E363112:E363120 E363148:E363156 E363184:E363192 E363220:E363228 E363256:E363264 E363292:E363300 E363328:E363336 E363364:E363372 E363400:E363408 E363436:E363444 E363472:E363480 E363508:E363516 E363544:E363552 E363580:E363588 E363616:E363624 E363652:E363660 E363688:E363696 E363724:E363732 E363760:E363768 E363796:E363804 E363832:E363840 E363868:E363876 E363904:E363912 E363940:E363948 E363976:E363984 E364012:E364020 E364048:E364056 E364084:E364092 E364120:E364128 E364156:E364164 E364192:E364200 E364228:E364236 E364264:E364272 E364300:E364308 E364336:E364344 E364372:E364380 E364408:E364416 E364444:E364452 E364480:E364488 E364516:E364524 E364552:E364560 E364588:E364596 E364624:E364632 E364660:E364668 E364696:E364704 E364732:E364740 E364768:E364776 E364804:E364812 E364840:E364848 E364876:E364884 E364912:E364920 E364948:E364956 E364984:E364992 E365020:E365028 E365056:E365064 E365092:E365100 E365128:E365136 E365164:E365172 E365200:E365208 E365236:E365244 E365272:E365280 E365308:E365316 E365344:E365352 E365380:E365388 E365416:E365424 E365452:E365460 E365488:E365496 E365524:E365532 E365560:E365568 E365596:E365604 E365632:E365640 E365668:E365676 E365704:E365712 E365740:E365748 E365776:E365784 E365812:E365820 E365848:E365856 E365884:E365892 E365920:E365928 E365956:E365964 E365992:E366000 E366028:E366036 E366064:E366072 E366100:E366108 E366136:E366144 E366172:E366180 E366208:E366216 E366244:E366252 E366280:E366288 E366316:E366324 E366352:E366360 E366388:E366396 E366424:E366432 E366460:E366468 E366496:E366504 E366532:E366540 E366568:E366576 E366604:E366612 E366640:E366648 E366676:E366684 E366712:E366720 E366748:E366756 E366784:E366792 E366820:E366828 E366856:E366864 E366892:E366900 E366928:E366936 E366964:E366972 E367000:E367008 E367036:E367044 E367072:E367080 E367108:E367116 E367144:E367152 E367180:E367188 E367216:E367224 E367252:E367260 E367288:E367296 E367324:E367332 E367360:E367368 E367396:E367404 E367432:E367440 E367468:E367476 E367504:E367512 E367540:E367548 E367576:E367584 E367612:E367620 E367648:E367656 E367684:E367692 E367720:E367728 E367756:E367764 E367792:E367800 E367828:E367836 E367864:E367872 E367900:E367908 E367936:E367944 E367972:E367980 E368008:E368016 E368044:E368052 E368080:E368088 E368116:E368124 E368152:E368160 E368188:E368196 E368224:E368232 E368260:E368268 E368296:E368304 E368332:E368340 E368368:E368376 E368404:E368412 E368440:E368448 E368476:E368484 E368512:E368520 E368548:E368556 E368584:E368592 E368620:E368628 E368656:E368664 E368692:E368700 E368728:E368736 E368764:E368772 E368800:E368808 E368836:E368844 E368872:E368880 E368908:E368916 E368944:E368952 E368980:E368988 E369016:E369024 E369052:E369060 E369088:E369096 E369124:E369132 E369160:E369168 E369196:E369204 E369232:E369240 E369268:E369276 E369304:E369312 E369340:E369348 E369376:E369384 E369412:E369420 E369448:E369456 E369484:E369492 E369520:E369528 E369556:E369564 E369592:E369600 E369628:E369636 E369664:E369672 E369700:E369708 E369736:E369744 E369772:E369780 E369808:E369816 E369844:E369852 E369880:E369888 E369916:E369924 E369952:E369960 E369988:E369996 E370024:E370032 E370060:E370068 E370096:E370104 E370132:E370140 E370168:E370176 E370204:E370212 E370240:E370248 E370276:E370284 E370312:E370320 E370348:E370356 E370384:E370392 E370420:E370428 E370456:E370464 E370492:E370500 E370528:E370536 E370564:E370572 E370600:E370608 E370636:E370644 E370672:E370680 E370708:E370716 E370744:E370752 E370780:E370788 E370816:E370824 E370852:E370860 E370888:E370896 E370924:E370932 E370960:E370968 E370996:E371004 E371032:E371040 E371068:E371076 E371104:E371112 E371140:E371148 E371176:E371184 E371212:E371220 E371248:E371256 E371284:E371292 E371320:E371328 E371356:E371364 E371392:E371400 E371428:E371436 E371464:E371472 E371500:E371508 E371536:E371544 E371572:E371580 E371608:E371616 E371644:E371652 E371680:E371688 E371716:E371724 E371752:E371760 E371788:E371796 E371824:E371832 E371860:E371868 E371896:E371904 E371932:E371940 E371968:E371976 E372004:E372012 E372040:E372048 E372076:E372084 E372112:E372120 E372148:E372156 E372184:E372192 E372220:E372228 E372256:E372264 E372292:E372300 E372328:E372336 E372364:E372372 E372400:E372408 E372436:E372444 E372472:E372480 E372508:E372516 E372544:E372552 E372580:E372588 E372616:E372624 E372652:E372660 E372688:E372696 E372724:E372732 E372760:E372768 E372796:E372804 E372832:E372840 E372868:E372876 E372904:E372912 E372940:E372948 E372976:E372984 E373012:E373020 E373048:E373056 E373084:E373092 E373120:E373128 E373156:E373164 E373192:E373200 E373228:E373236 E373264:E373272 E373300:E373308 E373336:E373344 E373372:E373380 E373408:E373416 E373444:E373452 E373480:E373488 E373516:E373524 E373552:E373560 E373588:E373596 E373624:E373632 E373660:E373668 E373696:E373704 E373732:E373740 E373768:E373776 E373804:E373812 E373840:E373848 E373876:E373884 E373912:E373920 E373948:E373956 E373984:E373992 E374020:E374028 E374056:E374064 E374092:E374100 E374128:E374136 E374164:E374172 E374200:E374208 E374236:E374244 E374272:E374280 E374308:E374316 E374344:E374352 E374380:E374388 E374416:E374424 E374452:E374460 E374488:E374496 E374524:E374532 E374560:E374568 E374596:E374604 E374632:E374640 E374668:E374676 E374704:E374712 E374740:E374748 E374776:E374784 E374812:E374820 E374848:E374856 E374884:E374892 E374920:E374928 E374956:E374964 E374992:E375000 E375028:E375036 E375064:E375072 E375100:E375108 E375136:E375144 E375172:E375180 E375208:E375216 E375244:E375252 E375280:E375288 E375316:E375324 E375352:E375360 E375388:E375396 E375424:E375432 E375460:E375468 E375496:E375504 E375532:E375540 E375568:E375576 E375604:E375612 E375640:E375648 E375676:E375684 E375712:E375720 E375748:E375756 E375784:E375792 E375820:E375828 E375856:E375864 E375892:E375900 E375928:E375936 E375964:E375972 E376000:E376008 E376036:E376044 E376072:E376080 E376108:E376116 E376144:E376152 E376180:E376188 E376216:E376224 E376252:E376260 E376288:E376296 E376324:E376332 E376360:E376368 E376396:E376404 E376432:E376440 E376468:E376476 E376504:E376512 E376540:E376548 E376576:E376584 E376612:E376620 E376648:E376656 E376684:E376692 E376720:E376728 E376756:E376764 E376792:E376800 E376828:E376836 E376864:E376872 E376900:E376908 E376936:E376944 E376972:E376980 E377008:E377016 E377044:E377052 E377080:E377088 E377116:E377124 E377152:E377160 E377188:E377196 E377224:E377232 E377260:E377268 E377296:E377304 E377332:E377340 E377368:E377376 E377404:E377412 E377440:E377448 E377476:E377484 E377512:E377520 E377548:E377556 E377584:E377592 E377620:E377628 E377656:E377664 E377692:E377700 E377728:E377736 E377764:E377772 E377800:E377808 E377836:E377844 E377872:E377880 E377908:E377916 E377944:E377952 E377980:E377988 E378016:E378024 E378052:E378060 E378088:E378096 E378124:E378132 E378160:E378168 E378196:E378204 E378232:E378240 E378268:E378276 E378304:E378312 E378340:E378348 E378376:E378384 E378412:E378420 E378448:E378456 E378484:E378492 E378520:E378528 E378556:E378564 E378592:E378600 E378628:E378636 E378664:E378672 E378700:E378708 E378736:E378744 E378772:E378780 E378808:E378816 E378844:E378852 E378880:E378888 E378916:E378924 E378952:E378960 E378988:E378996 E379024:E379032 E379060:E379068 E379096:E379104 E379132:E379140 E379168:E379176 E379204:E379212 E379240:E379248 E379276:E379284 E379312:E379320 E379348:E379356 E379384:E379392 E379420:E379428 E379456:E379464 E379492:E379500 E379528:E379536 E379564:E379572 E379600:E379608 E379636:E379644 E379672:E379680 E379708:E379716 E379744:E379752 E379780:E379788 E379816:E379824 E379852:E379860 E379888:E379896 E379924:E379932 E379960:E379968 E379996:E380004 E380032:E380040 E380068:E380076 E380104:E380112 E380140:E380148 E380176:E380184 E380212:E380220 E380248:E380256 E380284:E380292 E380320:E380328 E380356:E380364 E380392:E380400 E380428:E380436 E380464:E380472 E380500:E380508 E380536:E380544 E380572:E380580 E380608:E380616 E380644:E380652 E380680:E380688 E380716:E380724 E380752:E380760 E380788:E380796 E380824:E380832 E380860:E380868 E380896:E380904 E380932:E380940 E380968:E380976 E381004:E381012 E381040:E381048 E381076:E381084 E381112:E381120 E381148:E381156 E381184:E381192 E381220:E381228 E381256:E381264 E381292:E381300 E381328:E381336 E381364:E381372 E381400:E381408 E381436:E381444 E381472:E381480 E381508:E381516 E381544:E381552 E381580:E381588 E381616:E381624 E381652:E381660 E381688:E381696 E381724:E381732 E381760:E381768 E381796:E381804 E381832:E381840 E381868:E381876 E381904:E381912 E381940:E381948 E381976:E381984 E382012:E382020 E382048:E382056 E382084:E382092 E382120:E382128 E382156:E382164 E382192:E382200 E382228:E382236 E382264:E382272 E382300:E382308 E382336:E382344 E382372:E382380 E382408:E382416 E382444:E382452 E382480:E382488 E382516:E382524 E382552:E382560 E382588:E382596 E382624:E382632 E382660:E382668 E382696:E382704 E382732:E382740 E382768:E382776 E382804:E382812 E382840:E382848 E382876:E382884 E382912:E382920 E382948:E382956 E382984:E382992 E383020:E383028 E383056:E383064 E383092:E383100 E383128:E383136 E383164:E383172 E383200:E383208 E383236:E383244 E383272:E383280 E383308:E383316 E383344:E383352 E383380:E383388 E383416:E383424 E383452:E383460 E383488:E383496 E383524:E383532 E383560:E383568 E383596:E383604 E383632:E383640 E383668:E383676 E383704:E383712 E383740:E383748 E383776:E383784 E383812:E383820 E383848:E383856 E383884:E383892 E383920:E383928 E383956:E383964 E383992:E384000 E384028:E384036 E384064:E384072 E384100:E384108 E384136:E384144 E384172:E384180 E384208:E384216 E384244:E384252 E384280:E384288 E384316:E384324 E384352:E384360 E384388:E384396 E384424:E384432 E384460:E384468 E384496:E384504 E384532:E384540 E384568:E384576 E384604:E384612 E384640:E384648 E384676:E384684 E384712:E384720 E384748:E384756 E384784:E384792 E384820:E384828 E384856:E384864 E384892:E384900 E384928:E384936 E384964:E384972 E385000:E385008 E385036:E385044 E385072:E385080 E385108:E385116 E385144:E385152 E385180:E385188 E385216:E385224 E385252:E385260 E385288:E385296 E385324:E385332 E385360:E385368 E385396:E385404 E385432:E385440 E385468:E385476 E385504:E385512 E385540:E385548 E385576:E385584 E385612:E385620 E385648:E385656 E385684:E385692 E385720:E385728 E385756:E385764 E385792:E385800 E385828:E385836 E385864:E385872 E385900:E385908 E385936:E385944 E385972:E385980 E386008:E386016 E386044:E386052 E386080:E386088 E386116:E386124 E386152:E386160 E386188:E386196 E386224:E386232 E386260:E386268 E386296:E386304 E386332:E386340 E386368:E386376 E386404:E386412 E386440:E386448 E386476:E386484 E386512:E386520 E386548:E386556 E386584:E386592 E386620:E386628 E386656:E386664 E386692:E386700 E386728:E386736 E386764:E386772 E386800:E386808 E386836:E386844 E386872:E386880 E386908:E386916 E386944:E386952 E386980:E386988 E387016:E387024 E387052:E387060 E387088:E387096 E387124:E387132 E387160:E387168 E387196:E387204 E387232:E387240 E387268:E387276 E387304:E387312 E387340:E387348 E387376:E387384 E387412:E387420 E387448:E387456 E387484:E387492 E387520:E387528 E387556:E387564 E387592:E387600 E387628:E387636 E387664:E387672 E387700:E387708 E387736:E387744 E387772:E387780 E387808:E387816 E387844:E387852 E387880:E387888 E387916:E387924 E387952:E387960 E387988:E387996 E388024:E388032 E388060:E388068 E388096:E388104 E388132:E388140 E388168:E388176 E388204:E388212 E388240:E388248 E388276:E388284 E388312:E388320 E388348:E388356 E388384:E388392 E388420:E388428 E388456:E388464 E388492:E388500 E388528:E388536 E388564:E388572 E388600:E388608 E388636:E388644 E388672:E388680 E388708:E388716 E388744:E388752 E388780:E388788 E388816:E388824 E388852:E388860 E388888:E388896 E388924:E388932 E388960:E388968 E388996:E389004 E389032:E389040 E389068:E389076 E389104:E389112 E389140:E389148 E389176:E389184 E389212:E389220 E389248:E389256 E389284:E389292 E389320:E389328 E389356:E389364 E389392:E389400 E389428:E389436 E389464:E389472 E389500:E389508 E389536:E389544 E389572:E389580 E389608:E389616 E389644:E389652 E389680:E389688 E389716:E389724 E389752:E389760 E389788:E389796 E389824:E389832 E389860:E389868 E389896:E389904 E389932:E389940 E389968:E389976 E390004:E390012 E390040:E390048 E390076:E390084 E390112:E390120 E390148:E390156 E390184:E390192 E390220:E390228 E390256:E390264 E390292:E390300 E390328:E390336 E390364:E390372 E390400:E390408 E390436:E390444 E390472:E390480 E390508:E390516 E390544:E390552 E390580:E390588 E390616:E390624 E390652:E390660 E390688:E390696 E390724:E390732 E390760:E390768 E390796:E390804 E390832:E390840 E390868:E390876 E390904:E390912 E390940:E390948 E390976:E390984 E391012:E391020 E391048:E391056 E391084:E391092 E391120:E391128 E391156:E391164 E391192:E391200 E391228:E391236 E391264:E391272 E391300:E391308 E391336:E391344 E391372:E391380 E391408:E391416 E391444:E391452 E391480:E391488 E391516:E391524 E391552:E391560 E391588:E391596 E391624:E391632 E391660:E391668 E391696:E391704 E391732:E391740 E391768:E391776 E391804:E391812 E391840:E391848 E391876:E391884 E391912:E391920 E391948:E391956 E391984:E391992 E392020:E392028 E392056:E392064 E392092:E392100 E392128:E392136 E392164:E392172 E392200:E392208 E392236:E392244 E392272:E392280 E392308:E392316 E392344:E392352 E392380:E392388 E392416:E392424 E392452:E392460 E392488:E392496 E392524:E392532 E392560:E392568 E392596:E392604 E392632:E392640 E392668:E392676 E392704:E392712 E392740:E392748 E392776:E392784 E392812:E392820 E392848:E392856 E392884:E392892 E392920:E392928 E392956:E392964 E392992:E393000 E393028:E393036 E393064:E393072 E393100:E393108 E393136:E393144 E393172:E393180 E393208:E393216 E393244:E393252 E393280:E393288 E393316:E393324 E393352:E393360 E393388:E393396 E393424:E393432 E393460:E393468 E393496:E393504 E393532:E393540 E393568:E393576 E393604:E393612 E393640:E393648 E393676:E393684 E393712:E393720 E393748:E393756 E393784:E393792 E393820:E393828 E393856:E393864 E393892:E393900 E393928:E393936 E393964:E393972 E394000:E394008 E394036:E394044 E394072:E394080 E394108:E394116 E394144:E394152 E394180:E394188 E394216:E394224 E394252:E394260 E394288:E394296 E394324:E394332 E394360:E394368 E394396:E394404 E394432:E394440 E394468:E394476 E394504:E394512 E394540:E394548 E394576:E394584 E394612:E394620 E394648:E394656 E394684:E394692 E394720:E394728 E394756:E394764 E394792:E394800 E394828:E394836 E394864:E394872 E394900:E394908 E394936:E394944 E394972:E394980 E395008:E395016 E395044:E395052 E395080:E395088 E395116:E395124 E395152:E395160 E395188:E395196 E395224:E395232 E395260:E395268 E395296:E395304 E395332:E395340 E395368:E395376 E395404:E395412 E395440:E395448 E395476:E395484 E395512:E395520 E395548:E395556 E395584:E395592 E395620:E395628 E395656:E395664 E395692:E395700 E395728:E395736 E395764:E395772 E395800:E395808 E395836:E395844 E395872:E395880 E395908:E395916 E395944:E395952 E395980:E395988 E396016:E396024 E396052:E396060 E396088:E396096 E396124:E396132 E396160:E396168 E396196:E396204 E396232:E396240 E396268:E396276 E396304:E396312 E396340:E396348 E396376:E396384 E396412:E396420 E396448:E396456 E396484:E396492 E396520:E396528 E396556:E396564 E396592:E396600 E396628:E396636 E396664:E396672 E396700:E396708 E396736:E396744 E396772:E396780 E396808:E396816 E396844:E396852 E396880:E396888 E396916:E396924 E396952:E396960 E396988:E396996 E397024:E397032 E397060:E397068 E397096:E397104 E397132:E397140 E397168:E397176 E397204:E397212 E397240:E397248 E397276:E397284 E397312:E397320 E397348:E397356 E397384:E397392 E397420:E397428 E397456:E397464 E397492:E397500 E397528:E397536 E397564:E397572 E397600:E397608 E397636:E397644 E397672:E397680 E397708:E397716 E397744:E397752 E397780:E397788 E397816:E397824 E397852:E397860 E397888:E397896 E397924:E397932 E397960:E397968 E397996:E398004 E398032:E398040 E398068:E398076 E398104:E398112 E398140:E398148 E398176:E398184 E398212:E398220 E398248:E398256 E398284:E398292 E398320:E398328 E398356:E398364 E398392:E398400 E398428:E398436 E398464:E398472 E398500:E398508 E398536:E398544 E398572:E398580 E398608:E398616 E398644:E398652 E398680:E398688 E398716:E398724 E398752:E398760 E398788:E398796 E398824:E398832 E398860:E398868 E398896:E398904 E398932:E398940 E398968:E398976 E399004:E399012 E399040:E399048 E399076:E399084 E399112:E399120 E399148:E399156 E399184:E399192 E399220:E399228 E399256:E399264 E399292:E399300 E399328:E399336 E399364:E399372 E399400:E399408 E399436:E399444 E399472:E399480 E399508:E399516 E399544:E399552 E399580:E399588 E399616:E399624 E399652:E399660 E399688:E399696 E399724:E399732 E399760:E399768 E399796:E399804 E399832:E399840 E399868:E399876 E399904:E399912 E399940:E399948 E399976:E399984 E400012:E400020 E400048:E400056 E400084:E400092 E400120:E400128 E400156:E400164 E400192:E400200 E400228:E400236 E400264:E400272 E400300:E400308 E400336:E400344 E400372:E400380 E400408:E400416 E400444:E400452 E400480:E400488 E400516:E400524 E400552:E400560 E400588:E400596 E400624:E400632 E400660:E400668 E400696:E400704 E400732:E400740 E400768:E400776 E400804:E400812 E400840:E400848 E400876:E400884 E400912:E400920 E400948:E400956 E400984:E400992 E401020:E401028 E401056:E401064 E401092:E401100 E401128:E401136 E401164:E401172 E401200:E401208 E401236:E401244 E401272:E401280 E401308:E401316 E401344:E401352 E401380:E401388 E401416:E401424 E401452:E401460 E401488:E401496 E401524:E401532 E401560:E401568 E401596:E401604 E401632:E401640 E401668:E401676 E401704:E401712 E401740:E401748 E401776:E401784 E401812:E401820 E401848:E401856 E401884:E401892 E401920:E401928 E401956:E401964 E401992:E402000 E402028:E402036 E402064:E402072 E402100:E402108 E402136:E402144 E402172:E402180 E402208:E402216 E402244:E402252 E402280:E402288 E402316:E402324 E402352:E402360 E402388:E402396 E402424:E402432 E402460:E402468 E402496:E402504 E402532:E402540 E402568:E402576 E402604:E402612 E402640:E402648 E402676:E402684 E402712:E402720 E402748:E402756 E402784:E402792 E402820:E402828 E402856:E402864 E402892:E402900 E402928:E402936 E402964:E402972 E403000:E403008 E403036:E403044 E403072:E403080 E403108:E403116 E403144:E403152 E403180:E403188 E403216:E403224 E403252:E403260 E403288:E403296 E403324:E403332 E403360:E403368 E403396:E403404 E403432:E403440 E403468:E403476 E403504:E403512 E403540:E403548 E403576:E403584 E403612:E403620 E403648:E403656 E403684:E403692 E403720:E403728 E403756:E403764 E403792:E403800 E403828:E403836 E403864:E403872 E403900:E403908 E403936:E403944 E403972:E403980 E404008:E404016 E404044:E404052 E404080:E404088 E404116:E404124 E404152:E404160 E404188:E404196 E404224:E404232 E404260:E404268 E404296:E404304 E404332:E404340 E404368:E404376 E404404:E404412 E404440:E404448 E404476:E404484 E404512:E404520 E404548:E404556 E404584:E404592 E404620:E404628 E404656:E404664 E404692:E404700 E404728:E404736 E404764:E404772 E404800:E404808 E404836:E404844 E404872:E404880 E404908:E404916 E404944:E404952 E404980:E404988 E405016:E405024 E405052:E405060 E405088:E405096 E405124:E405132 E405160:E405168 E405196:E405204 E405232:E405240 E405268:E405276 E405304:E405312 E405340:E405348 E405376:E405384 E405412:E405420 E405448:E405456 E405484:E405492 E405520:E405528 E405556:E405564 E405592:E405600 E405628:E405636 E405664:E405672 E405700:E405708 E405736:E405744 E405772:E405780 E405808:E405816 E405844:E405852 E405880:E405888 E405916:E405924 E405952:E405960 E405988:E405996 E406024:E406032 E406060:E406068 E406096:E406104 E406132:E406140 E406168:E406176 E406204:E406212 E406240:E406248 E406276:E406284 E406312:E406320 E406348:E406356 E406384:E406392 E406420:E406428 E406456:E406464 E406492:E406500 E406528:E406536 E406564:E406572 E406600:E406608 E406636:E406644 E406672:E406680 E406708:E406716 E406744:E406752 E406780:E406788 E406816:E406824 E406852:E406860 E406888:E406896 E406924:E406932 E406960:E406968 E406996:E407004 E407032:E407040 E407068:E407076 E407104:E407112 E407140:E407148 E407176:E407184 E407212:E407220 E407248:E407256 E407284:E407292 E407320:E407328 E407356:E407364 E407392:E407400 E407428:E407436 E407464:E407472 E407500:E407508 E407536:E407544 E407572:E407580 E407608:E407616 E407644:E407652 E407680:E407688 E407716:E407724 E407752:E407760 E407788:E407796 E407824:E407832 E407860:E407868 E407896:E407904 E407932:E407940 E407968:E407976 E408004:E408012 E408040:E408048 E408076:E408084 E408112:E408120 E408148:E408156 E408184:E408192 E408220:E408228 E408256:E408264 E408292:E408300 E408328:E408336 E408364:E408372 E408400:E408408 E408436:E408444 E408472:E408480 E408508:E408516 E408544:E408552 E408580:E408588 E408616:E408624 E408652:E408660 E408688:E408696 E408724:E408732 E408760:E408768 E408796:E408804 E408832:E408840 E408868:E408876 E408904:E408912 E408940:E408948 E408976:E408984 E409012:E409020 E409048:E409056 E409084:E409092 E409120:E409128 E409156:E409164 E409192:E409200 E409228:E409236 E409264:E409272 E409300:E409308 E409336:E409344 E409372:E409380 E409408:E409416 E409444:E409452 E409480:E409488 E409516:E409524 E409552:E409560 E409588:E409596 E409624:E409632 E409660:E409668 E409696:E409704 E409732:E409740 E409768:E409776 E409804:E409812 E409840:E409848 E409876:E409884 E409912:E409920 E409948:E409956 E409984:E409992 E410020:E410028 E410056:E410064 E410092:E410100 E410128:E410136 E410164:E410172 E410200:E410208 E410236:E410244 E410272:E410280 E410308:E410316 E410344:E410352 E410380:E410388 E410416:E410424 E410452:E410460 E410488:E410496 E410524:E410532 E410560:E410568 E410596:E410604 E410632:E410640 E410668:E410676 E410704:E410712 E410740:E410748 E410776:E410784 E410812:E410820 E410848:E410856 E410884:E410892 E410920:E410928 E410956:E410964 E410992:E411000 E411028:E411036 E411064:E411072 E411100:E411108 E411136:E411144 E411172:E411180 E411208:E411216 E411244:E411252 E411280:E411288 E411316:E411324 E411352:E411360 E411388:E411396 E411424:E411432 E411460:E411468 E411496:E411504 E411532:E411540 E411568:E411576 E411604:E411612 E411640:E411648 E411676:E411684 E411712:E411720 E411748:E411756 E411784:E411792 E411820:E411828 E411856:E411864 E411892:E411900 E411928:E411936 E411964:E411972 E412000:E412008 E412036:E412044 E412072:E412080 E412108:E412116 E412144:E412152 E412180:E412188 E412216:E412224 E412252:E412260 E412288:E412296 E412324:E412332 E412360:E412368 E412396:E412404 E412432:E412440 E412468:E412476 E412504:E412512 E412540:E412548 E412576:E412584 E412612:E412620 E412648:E412656 E412684:E412692 E412720:E412728 E412756:E412764 E412792:E412800 E412828:E412836 E412864:E412872 E412900:E412908 E412936:E412944 E412972:E412980 E413008:E413016 E413044:E413052 E413080:E413088 E413116:E413124 E413152:E413160 E413188:E413196 E413224:E413232 E413260:E413268 E413296:E413304 E413332:E413340 E413368:E413376 E413404:E413412 E413440:E413448 E413476:E413484 E413512:E413520 E413548:E413556 E413584:E413592 E413620:E413628 E413656:E413664 E413692:E413700 E413728:E413736 E413764:E413772 E413800:E413808 E413836:E413844 E413872:E413880 E413908:E413916 E413944:E413952 E413980:E413988 E414016:E414024 E414052:E414060 E414088:E414096 E414124:E414132 E414160:E414168 E414196:E414204 E414232:E414240 E414268:E414276 E414304:E414312 E414340:E414348 E414376:E414384 E414412:E414420 E414448:E414456 E414484:E414492 E414520:E414528 E414556:E414564 E414592:E414600 E414628:E414636 E414664:E414672 E414700:E414708 E414736:E414744 E414772:E414780 E414808:E414816 E414844:E414852 E414880:E414888 E414916:E414924 E414952:E414960 E414988:E414996 E415024:E415032 E415060:E415068 E415096:E415104 E415132:E415140 E415168:E415176 E415204:E415212 E415240:E415248 E415276:E415284 E415312:E415320 E415348:E415356 E415384:E415392 E415420:E415428 E415456:E415464 E415492:E415500 E415528:E415536 E415564:E415572 E415600:E415608 E415636:E415644 E415672:E415680 E415708:E415716 E415744:E415752 E415780:E415788 E415816:E415824 E415852:E415860 E415888:E415896 E415924:E415932 E415960:E415968 E415996:E416004 E416032:E416040 E416068:E416076 E416104:E416112 E416140:E416148 E416176:E416184 E416212:E416220 E416248:E416256 E416284:E416292 E416320:E416328 E416356:E416364 E416392:E416400 E416428:E416436 E416464:E416472 E416500:E416508 E416536:E416544 E416572:E416580 E416608:E416616 E416644:E416652 E416680:E416688 E416716:E416724 E416752:E416760 E416788:E416796 E416824:E416832 E416860:E416868 E416896:E416904 E416932:E416940 E416968:E416976 E417004:E417012 E417040:E417048 E417076:E417084 E417112:E417120 E417148:E417156 E417184:E417192 E417220:E417228 E417256:E417264 E417292:E417300 E417328:E417336 E417364:E417372 E417400:E417408 E417436:E417444 E417472:E417480 E417508:E417516 E417544:E417552 E417580:E417588 E417616:E417624 E417652:E417660 E417688:E417696 E417724:E417732 E417760:E417768 E417796:E417804 E417832:E417840 E417868:E417876 E417904:E417912 E417940:E417948 E417976:E417984 E418012:E418020 E418048:E418056 E418084:E418092 E418120:E418128 E418156:E418164 E418192:E418200 E418228:E418236 E418264:E418272 E418300:E418308 E418336:E418344 E418372:E418380 E418408:E418416 E418444:E418452 E418480:E418488 E418516:E418524 E418552:E418560 E418588:E418596 E418624:E418632 E418660:E418668 E418696:E418704 E418732:E418740 E418768:E418776 E418804:E418812 E418840:E418848 E418876:E418884 E418912:E418920 E418948:E418956 E418984:E418992 E419020:E419028 E419056:E419064 E419092:E419100 E419128:E419136 E419164:E419172 E419200:E419208 E419236:E419244 E419272:E419280 E419308:E419316 E419344:E419352 E419380:E419388 E419416:E419424 E419452:E419460 E419488:E419496 E419524:E419532 E419560:E419568 E419596:E419604 E419632:E419640 E419668:E419676 E419704:E419712 E419740:E419748 E419776:E419784 E419812:E419820 E419848:E419856 E419884:E419892 E419920:E419928 E419956:E419964 E419992:E420000 E420028:E420036 E420064:E420072 E420100:E420108 E420136:E420144 E420172:E420180 E420208:E420216 E420244:E420252 E420280:E420288 E420316:E420324 E420352:E420360 E420388:E420396 E420424:E420432 E420460:E420468 E420496:E420504 E420532:E420540 E420568:E420576 E420604:E420612 E420640:E420648 E420676:E420684 E420712:E420720 E420748:E420756 E420784:E420792 E420820:E420828 E420856:E420864 E420892:E420900 E420928:E420936 E420964:E420972 E421000:E421008 E421036:E421044 E421072:E421080 E421108:E421116 E421144:E421152 E421180:E421188 E421216:E421224 E421252:E421260 E421288:E421296 E421324:E421332 E421360:E421368 E421396:E421404 E421432:E421440 E421468:E421476 E421504:E421512 E421540:E421548 E421576:E421584 E421612:E421620 E421648:E421656 E421684:E421692 E421720:E421728 E421756:E421764 E421792:E421800 E421828:E421836 E421864:E421872 E421900:E421908 E421936:E421944 E421972:E421980 E422008:E422016 E422044:E422052 E422080:E422088 E422116:E422124 E422152:E422160 E422188:E422196 E422224:E422232 E422260:E422268 E422296:E422304 E422332:E422340 E422368:E422376 E422404:E422412 E422440:E422448 E422476:E422484 E422512:E422520 E422548:E422556 E422584:E422592 E422620:E422628 E422656:E422664 E422692:E422700 E422728:E422736 E422764:E422772 E422800:E422808 E422836:E422844 E422872:E422880 E422908:E422916 E422944:E422952 E422980:E422988 E423016:E423024 E423052:E423060 E423088:E423096 E423124:E423132 E423160:E423168 E423196:E423204 E423232:E423240 E423268:E423276 E423304:E423312 E423340:E423348 E423376:E423384 E423412:E423420 E423448:E423456 E423484:E423492 E423520:E423528 E423556:E423564 E423592:E423600 E423628:E423636 E423664:E423672 E423700:E423708 E423736:E423744 E423772:E423780 E423808:E423816 E423844:E423852 E423880:E423888 E423916:E423924 E423952:E423960 E423988:E423996 E424024:E424032 E424060:E424068 E424096:E424104 E424132:E424140 E424168:E424176 E424204:E424212 E424240:E424248 E424276:E424284 E424312:E424320 E424348:E424356 E424384:E424392 E424420:E424428 E424456:E424464 E424492:E424500 E424528:E424536 E424564:E424572 E424600:E424608 E424636:E424644 E424672:E424680 E424708:E424716 E424744:E424752 E424780:E424788 E424816:E424824 E424852:E424860 E424888:E424896 E424924:E424932 E424960:E424968 E424996:E425004 E425032:E425040 E425068:E425076 E425104:E425112 E425140:E425148 E425176:E425184 E425212:E425220 E425248:E425256 E425284:E425292 E425320:E425328 E425356:E425364 E425392:E425400 E425428:E425436 E425464:E425472 E425500:E425508 E425536:E425544 E425572:E425580 E425608:E425616 E425644:E425652 E425680:E425688 E425716:E425724 E425752:E425760 E425788:E425796 E425824:E425832 E425860:E425868 E425896:E425904 E425932:E425940 E425968:E425976 E426004:E426012 E426040:E426048 E426076:E426084 E426112:E426120 E426148:E426156 E426184:E426192 E426220:E426228 E426256:E426264 E426292:E426300 E426328:E426336 E426364:E426372 E426400:E426408 E426436:E426444 E426472:E426480 E426508:E426516 E426544:E426552 E426580:E426588 E426616:E426624 E426652:E426660 E426688:E426696 E426724:E426732 E426760:E426768 E426796:E426804 E426832:E426840 E426868:E426876 E426904:E426912 E426940:E426948 E426976:E426984 E427012:E427020 E427048:E427056 E427084:E427092 E427120:E427128 E427156:E427164 E427192:E427200 E427228:E427236 E427264:E427272 E427300:E427308 E427336:E427344 E427372:E427380 E427408:E427416 E427444:E427452 E427480:E427488 E427516:E427524 E427552:E427560 E427588:E427596 E427624:E427632 E427660:E427668 E427696:E427704 E427732:E427740 E427768:E427776 E427804:E427812 E427840:E427848 E427876:E427884 E427912:E427920 E427948:E427956 E427984:E427992 E428020:E428028 E428056:E428064 E428092:E428100 E428128:E428136 E428164:E428172 E428200:E428208 E428236:E428244 E428272:E428280 E428308:E428316 E428344:E428352 E428380:E428388 E428416:E428424 E428452:E428460 E428488:E428496 E428524:E428532 E428560:E428568 E428596:E428604 E428632:E428640 E428668:E428676 E428704:E428712 E428740:E428748 E428776:E428784 E428812:E428820 E428848:E428856 E428884:E428892 E428920:E428928 E428956:E428964 E428992:E429000 E429028:E429036 E429064:E429072 E429100:E429108 E429136:E429144 E429172:E429180 E429208:E429216 E429244:E429252 E429280:E429288 E429316:E429324 E429352:E429360 E429388:E429396 E429424:E429432 E429460:E429468 E429496:E429504 E429532:E429540 E429568:E429576 E429604:E429612 E429640:E429648 E429676:E429684 E429712:E429720 E429748:E429756 E429784:E429792 E429820:E429828 E429856:E429864 E429892:E429900 E429928:E429936 E429964:E429972 E430000:E430008 E430036:E430044 E430072:E430080 E430108:E430116 E430144:E430152 E430180:E430188 E430216:E430224 E430252:E430260 E430288:E430296 E430324:E430332 E430360:E430368 E430396:E430404 E430432:E430440 E430468:E430476 E430504:E430512 E430540:E430548 E430576:E430584 E430612:E430620 E430648:E430656 E430684:E430692 E430720:E430728 E430756:E430764 E430792:E430800 E430828:E430836 E430864:E430872 E430900:E430908 E430936:E430944 E430972:E430980 E431008:E431016 E431044:E431052 E431080:E431088 E431116:E431124 E431152:E431160 E431188:E431196 E431224:E431232 E431260:E431268 E431296:E431304 E431332:E431340 E431368:E431376 E431404:E431412 E431440:E431448 E431476:E431484 E431512:E431520 E431548:E431556 E431584:E431592 E431620:E431628 E431656:E431664 E431692:E431700 E431728:E431736 E431764:E431772 E431800:E431808 E431836:E431844 E431872:E431880 E431908:E431916 E431944:E431952 E431980:E431988 E432016:E432024 E432052:E432060 E432088:E432096 E432124:E432132 E432160:E432168 E432196:E432204 E432232:E432240 E432268:E432276 E432304:E432312 E432340:E432348 E432376:E432384 E432412:E432420 E432448:E432456 E432484:E432492 E432520:E432528 E432556:E432564 E432592:E432600 E432628:E432636 E432664:E432672 E432700:E432708 E432736:E432744 E432772:E432780 E432808:E432816 E432844:E432852 E432880:E432888 E432916:E432924 E432952:E432960 E432988:E432996 E433024:E433032 E433060:E433068 E433096:E433104 E433132:E433140 E433168:E433176 E433204:E433212 E433240:E433248 E433276:E433284 E433312:E433320 E433348:E433356 E433384:E433392 E433420:E433428 E433456:E433464 E433492:E433500 E433528:E433536 E433564:E433572 E433600:E433608 E433636:E433644 E433672:E433680 E433708:E433716 E433744:E433752 E433780:E433788 E433816:E433824 E433852:E433860 E433888:E433896 E433924:E433932 E433960:E433968 E433996:E434004 E434032:E434040 E434068:E434076 E434104:E434112 E434140:E434148 E434176:E434184 E434212:E434220 E434248:E434256 E434284:E434292 E434320:E434328 E434356:E434364 E434392:E434400 E434428:E434436 E434464:E434472 E434500:E434508 E434536:E434544 E434572:E434580 E434608:E434616 E434644:E434652 E434680:E434688 E434716:E434724 E434752:E434760 E434788:E434796 E434824:E434832 E434860:E434868 E434896:E434904 E434932:E434940 E434968:E434976 E435004:E435012 E435040:E435048 E435076:E435084 E435112:E435120 E435148:E435156 E435184:E435192 E435220:E435228 E435256:E435264 E435292:E435300 E435328:E435336 E435364:E435372 E435400:E435408 E435436:E435444 E435472:E435480 E435508:E435516 E435544:E435552 E435580:E435588 E435616:E435624 E435652:E435660 E435688:E435696 E435724:E435732 E435760:E435768 E435796:E435804 E435832:E435840 E435868:E435876 E435904:E435912 E435940:E435948 E435976:E435984 E436012:E436020 E436048:E436056 E436084:E436092 E436120:E436128 E436156:E436164 E436192:E436200 E436228:E436236 E436264:E436272 E436300:E436308 E436336:E436344 E436372:E436380 E436408:E436416 E436444:E436452 E436480:E436488 E436516:E436524 E436552:E436560 E436588:E436596 E436624:E436632 E436660:E436668 E436696:E436704 E436732:E436740 E436768:E436776 E436804:E436812 E436840:E436848 E436876:E436884 E436912:E436920 E436948:E436956 E436984:E436992 E437020:E437028 E437056:E437064 E437092:E437100 E437128:E437136 E437164:E437172 E437200:E437208 E437236:E437244 E437272:E437280 E437308:E437316 E437344:E437352 E437380:E437388 E437416:E437424 E437452:E437460 E437488:E437496 E437524:E437532 E437560:E437568 E437596:E437604 E437632:E437640 E437668:E437676 E437704:E437712 E437740:E437748 E437776:E437784 E437812:E437820 E437848:E437856 E437884:E437892 E437920:E437928 E437956:E437964 E437992:E438000 E438028:E438036 E438064:E438072 E438100:E438108 E438136:E438144 E438172:E438180 E438208:E438216 E438244:E438252 E438280:E438288 E438316:E438324 E438352:E438360 E438388:E438396 E438424:E438432 E438460:E438468 E438496:E438504 E438532:E438540 E438568:E438576 E438604:E438612 E438640:E438648 E438676:E438684 E438712:E438720 E438748:E438756 E438784:E438792 E438820:E438828 E438856:E438864 E438892:E438900 E438928:E438936 E438964:E438972 E439000:E439008 E439036:E439044 E439072:E439080 E439108:E439116 E439144:E439152 E439180:E439188 E439216:E439224 E439252:E439260 E439288:E439296 E439324:E439332 E439360:E439368 E439396:E439404 E439432:E439440 E439468:E439476 E439504:E439512 E439540:E439548 E439576:E439584 E439612:E439620 E439648:E439656 E439684:E439692 E439720:E439728 E439756:E439764 E439792:E439800 E439828:E439836 E439864:E439872 E439900:E439908 E439936:E439944 E439972:E439980 E440008:E440016 E440044:E440052 E440080:E440088 E440116:E440124 E440152:E440160 E440188:E440196 E440224:E440232 E440260:E440268 E440296:E440304 E440332:E440340 E440368:E440376 E440404:E440412 E440440:E440448 E440476:E440484 E440512:E440520 E440548:E440556 E440584:E440592 E440620:E440628 E440656:E440664 E440692:E440700 E440728:E440736 E440764:E440772 E440800:E440808 E440836:E440844 E440872:E440880 E440908:E440916 E440944:E440952 E440980:E440988 E441016:E441024 E441052:E441060 E441088:E441096 E441124:E441132 E441160:E441168 E441196:E441204 E441232:E441240 E441268:E441276 E441304:E441312 E441340:E441348 E441376:E441384 E441412:E441420 E441448:E441456 E441484:E441492 E441520:E441528 E441556:E441564 E441592:E441600 E441628:E441636 E441664:E441672 E441700:E441708 E441736:E441744 E441772:E441780 E441808:E441816 E441844:E441852 E441880:E441888 E441916:E441924 E441952:E441960 E441988:E441996 E442024:E442032 E442060:E442068 E442096:E442104 E442132:E442140 E442168:E442176 E442204:E442212 E442240:E442248 E442276:E442284 E442312:E442320 E442348:E442356 E442384:E442392 E442420:E442428 E442456:E442464 E442492:E442500 E442528:E442536 E442564:E442572 E442600:E442608 E442636:E442644 E442672:E442680 E442708:E442716 E442744:E442752 E442780:E442788 E442816:E442824 E442852:E442860 E442888:E442896 E442924:E442932 E442960:E442968 E442996:E443004 E443032:E443040 E443068:E443076 E443104:E443112 E443140:E443148 E443176:E443184 E443212:E443220 E443248:E443256 E443284:E443292 E443320:E443328 E443356:E443364 E443392:E443400 E443428:E443436 E443464:E443472 E443500:E443508 E443536:E443544 E443572:E443580 E443608:E443616 E443644:E443652 E443680:E443688 E443716:E443724 E443752:E443760 E443788:E443796 E443824:E443832 E443860:E443868 E443896:E443904 E443932:E443940 E443968:E443976 E444004:E444012 E444040:E444048 E444076:E444084 E444112:E444120 E444148:E444156 E444184:E444192 E444220:E444228 E444256:E444264 E444292:E444300 E444328:E444336 E444364:E444372 E444400:E444408 E444436:E444444 E444472:E444480 E444508:E444516 E444544:E444552 E444580:E444588 E444616:E444624 E444652:E444660 E444688:E444696 E444724:E444732 E444760:E444768 E444796:E444804 E444832:E444840 E444868:E444876 E444904:E444912 E444940:E444948 E444976:E444984 E445012:E445020 E445048:E445056 E445084:E445092 E445120:E445128 E445156:E445164 E445192:E445200 E445228:E445236 E445264:E445272 E445300:E445308 E445336:E445344 E445372:E445380 E445408:E445416 E445444:E445452 E445480:E445488 E445516:E445524 E445552:E445560 E445588:E445596 E445624:E445632 E445660:E445668 E445696:E445704 E445732:E445740 E445768:E445776 E445804:E445812 E445840:E445848 E445876:E445884 E445912:E445920 E445948:E445956 E445984:E445992 E446020:E446028 E446056:E446064 E446092:E446100 E446128:E446136 E446164:E446172 E446200:E446208 E446236:E446244 E446272:E446280 E446308:E446316 E446344:E446352 E446380:E446388 E446416:E446424 E446452:E446460 E446488:E446496 E446524:E446532 E446560:E446568 E446596:E446604 E446632:E446640 E446668:E446676 E446704:E446712 E446740:E446748 E446776:E446784 E446812:E446820 E446848:E446856 E446884:E446892 E446920:E446928 E446956:E446964 E446992:E447000 E447028:E447036 E447064:E447072 E447100:E447108 E447136:E447144 E447172:E447180 E447208:E447216 E447244:E447252 E447280:E447288 E447316:E447324 E447352:E447360 E447388:E447396 E447424:E447432 E447460:E447468 E447496:E447504 E447532:E447540 E447568:E447576 E447604:E447612 E447640:E447648 E447676:E447684 E447712:E447720 E447748:E447756 E447784:E447792 E447820:E447828 E447856:E447864 E447892:E447900 E447928:E447936 E447964:E447972 E448000:E448008 E448036:E448044 E448072:E448080 E448108:E448116 E448144:E448152 E448180:E448188 E448216:E448224 E448252:E448260 E448288:E448296 E448324:E448332 E448360:E448368 E448396:E448404 E448432:E448440 E448468:E448476 E448504:E448512 E448540:E448548 E448576:E448584 E448612:E448620 E448648:E448656 E448684:E448692 E448720:E448728 E448756:E448764 E448792:E448800 E448828:E448836 E448864:E448872 E448900:E448908 E448936:E448944 E448972:E448980 E449008:E449016 E449044:E449052 E449080:E449088 E449116:E449124 E449152:E449160 E449188:E449196 E449224:E449232 E449260:E449268 E449296:E449304 E449332:E449340 E449368:E449376 E449404:E449412 E449440:E449448 E449476:E449484 E449512:E449520 E449548:E449556 E449584:E449592 E449620:E449628 E449656:E449664 E449692:E449700 E449728:E449736 E449764:E449772 E449800:E449808 E449836:E449844 E449872:E449880 E449908:E449916 E449944:E449952 E449980:E449988 E450016:E450024 E450052:E450060 E450088:E450096 E450124:E450132 E450160:E450168 E450196:E450204 E450232:E450240 E450268:E450276 E450304:E450312 E450340:E450348 E450376:E450384 E450412:E450420 E450448:E450456 E450484:E450492 E450520:E450528 E450556:E450564 E450592:E450600 E450628:E450636 E450664:E450672 E450700:E450708 E450736:E450744 E450772:E450780 E450808:E450816 E450844:E450852 E450880:E450888 E450916:E450924 E450952:E450960 E450988:E450996 E451024:E451032 E451060:E451068 E451096:E451104 E451132:E451140 E451168:E451176 E451204:E451212 E451240:E451248 E451276:E451284 E451312:E451320 E451348:E451356 E451384:E451392 E451420:E451428 E451456:E451464 E451492:E451500 E451528:E451536 E451564:E451572 E451600:E451608 E451636:E451644 E451672:E451680 E451708:E451716 E451744:E451752 E451780:E451788 E451816:E451824 E451852:E451860 E451888:E451896 E451924:E451932 E451960:E451968 E451996:E452004 E452032:E452040 E452068:E452076 E452104:E452112 E452140:E452148 E452176:E452184 E452212:E452220 E452248:E452256 E452284:E452292 E452320:E452328 E452356:E452364 E452392:E452400 E452428:E452436 E452464:E452472 E452500:E452508 E452536:E452544 E452572:E452580 E452608:E452616 E452644:E452652 E452680:E452688 E452716:E452724 E452752:E452760 E452788:E452796 E452824:E452832 E452860:E452868 E452896:E452904 E452932:E452940 E452968:E452976 E453004:E453012 E453040:E453048 E453076:E453084 E453112:E453120 E453148:E453156 E453184:E453192 E453220:E453228 E453256:E453264 E453292:E453300 E453328:E453336 E453364:E453372 E453400:E453408 E453436:E453444 E453472:E453480 E453508:E453516 E453544:E453552 E453580:E453588 E453616:E453624 E453652:E453660 E453688:E453696 E453724:E453732 E453760:E453768 E453796:E453804 E453832:E453840 E453868:E453876 E453904:E453912 E453940:E453948 E453976:E453984 E454012:E454020 E454048:E454056 E454084:E454092 E454120:E454128 E454156:E454164 E454192:E454200 E454228:E454236 E454264:E454272 E454300:E454308 E454336:E454344 E454372:E454380 E454408:E454416 E454444:E454452 E454480:E454488 E454516:E454524 E454552:E454560 E454588:E454596 E454624:E454632 E454660:E454668 E454696:E454704 E454732:E454740 E454768:E454776 E454804:E454812 E454840:E454848 E454876:E454884 E454912:E454920 E454948:E454956 E454984:E454992 E455020:E455028 E455056:E455064 E455092:E455100 E455128:E455136 E455164:E455172 E455200:E455208 E455236:E455244 E455272:E455280 E455308:E455316 E455344:E455352 E455380:E455388 E455416:E455424 E455452:E455460 E455488:E455496 E455524:E455532 E455560:E455568 E455596:E455604 E455632:E455640 E455668:E455676 E455704:E455712 E455740:E455748 E455776:E455784 E455812:E455820 E455848:E455856 E455884:E455892 E455920:E455928 E455956:E455964 E455992:E456000 E456028:E456036 E456064:E456072 E456100:E456108 E456136:E456144 E456172:E456180 E456208:E456216 E456244:E456252 E456280:E456288 E456316:E456324 E456352:E456360 E456388:E456396 E456424:E456432 E456460:E456468 E456496:E456504 E456532:E456540 E456568:E456576 E456604:E456612 E456640:E456648 E456676:E456684 E456712:E456720 E456748:E456756 E456784:E456792 E456820:E456828 E456856:E456864 E456892:E456900 E456928:E456936 E456964:E456972 E457000:E457008 E457036:E457044 E457072:E457080 E457108:E457116 E457144:E457152 E457180:E457188 E457216:E457224 E457252:E457260 E457288:E457296 E457324:E457332 E457360:E457368 E457396:E457404 E457432:E457440 E457468:E457476 E457504:E457512 E457540:E457548 E457576:E457584 E457612:E457620 E457648:E457656 E457684:E457692 E457720:E457728 E457756:E457764 E457792:E457800 E457828:E457836 E457864:E457872 E457900:E457908 E457936:E457944 E457972:E457980 E458008:E458016 E458044:E458052 E458080:E458088 E458116:E458124 E458152:E458160 E458188:E458196 E458224:E458232 E458260:E458268 E458296:E458304 E458332:E458340 E458368:E458376 E458404:E458412 E458440:E458448 E458476:E458484 E458512:E458520 E458548:E458556 E458584:E458592 E458620:E458628 E458656:E458664 E458692:E458700 E458728:E458736 E458764:E458772 E458800:E458808 E458836:E458844 E458872:E458880 E458908:E458916 E458944:E458952 E458980:E458988 E459016:E459024 E459052:E459060 E459088:E459096 E459124:E459132 E459160:E459168 E459196:E459204 E459232:E459240 E459268:E459276 E459304:E459312 E459340:E459348 E459376:E459384 E459412:E459420 E459448:E459456 E459484:E459492 E459520:E459528 E459556:E459564 E459592:E459600 E459628:E459636 E459664:E459672 E459700:E459708 E459736:E459744 E459772:E459780 E459808:E459816 E459844:E459852 E459880:E459888 E459916:E459924 E459952:E459960 E459988:E459996 E460024:E460032 E460060:E460068 E460096:E460104 E460132:E460140 E460168:E460176 E460204:E460212 E460240:E460248 E460276:E460284 E460312:E460320 E460348:E460356 E460384:E460392 E460420:E460428 E460456:E460464 E460492:E460500 E460528:E460536 E460564:E460572 E460600:E460608 E460636:E460644 E460672:E460680 E460708:E460716 E460744:E460752 E460780:E460788 E460816:E460824 E460852:E460860 E460888:E460896 E460924:E460932 E460960:E460968 E460996:E461004 E461032:E461040 E461068:E461076 E461104:E461112 E461140:E461148 E461176:E461184 E461212:E461220 E461248:E461256 E461284:E461292 E461320:E461328 E461356:E461364 E461392:E461400 E461428:E461436 E461464:E461472 E461500:E461508 E461536:E461544 E461572:E461580 E461608:E461616 E461644:E461652 E461680:E461688 E461716:E461724 E461752:E461760 E461788:E461796 E461824:E461832 E461860:E461868 E461896:E461904 E461932:E461940 E461968:E461976 E462004:E462012 E462040:E462048 E462076:E462084 E462112:E462120 E462148:E462156 E462184:E462192 E462220:E462228 E462256:E462264 E462292:E462300 E462328:E462336 E462364:E462372 E462400:E462408 E462436:E462444 E462472:E462480 E462508:E462516 E462544:E462552 E462580:E462588 E462616:E462624 E462652:E462660 E462688:E462696 E462724:E462732 E462760:E462768 E462796:E462804 E462832:E462840 E462868:E462876 E462904:E462912 E462940:E462948 E462976:E462984 E463012:E463020 E463048:E463056 E463084:E463092 E463120:E463128 E463156:E463164 E463192:E463200 E463228:E463236 E463264:E463272 E463300:E463308 E463336:E463344 E463372:E463380 E463408:E463416 E463444:E463452 E463480:E463488 E463516:E463524 E463552:E463560 E463588:E463596 E463624:E463632 E463660:E463668 E463696:E463704 E463732:E463740 E463768:E463776 E463804:E463812 E463840:E463848 E463876:E463884 E463912:E463920 E463948:E463956 E463984:E463992 E464020:E464028 E464056:E464064 E464092:E464100 E464128:E464136 E464164:E464172 E464200:E464208 E464236:E464244 E464272:E464280 E464308:E464316 E464344:E464352 E464380:E464388 E464416:E464424 E464452:E464460 E464488:E464496 E464524:E464532 E464560:E464568 E464596:E464604 E464632:E464640 E464668:E464676 E464704:E464712 E464740:E464748 E464776:E464784 E464812:E464820 E464848:E464856 E464884:E464892 E464920:E464928 E464956:E464964 E464992:E465000 E465028:E465036 E465064:E465072 E465100:E465108 E465136:E465144 E465172:E465180 E465208:E465216 E465244:E465252 E465280:E465288 E465316:E465324 E465352:E465360 E465388:E465396 E465424:E465432 E465460:E465468 E465496:E465504 E465532:E465540 E465568:E465576 E465604:E465612 E465640:E465648 E465676:E465684 E465712:E465720 E465748:E465756 E465784:E465792 E465820:E465828 E465856:E465864 E465892:E465900 E465928:E465936 E465964:E465972 E466000:E466008 E466036:E466044 E466072:E466080 E466108:E466116 E466144:E466152 E466180:E466188 E466216:E466224 E466252:E466260 E466288:E466296 E466324:E466332 E466360:E466368 E466396:E466404 E466432:E466440 E466468:E466476 E466504:E466512 E466540:E466548 E466576:E466584 E466612:E466620 E466648:E466656 E466684:E466692 E466720:E466728 E466756:E466764 E466792:E466800 E466828:E466836 E466864:E466872 E466900:E466908 E466936:E466944 E466972:E466980 E467008:E467016 E467044:E467052 E467080:E467088 E467116:E467124 E467152:E467160 E467188:E467196 E467224:E467232 E467260:E467268 E467296:E467304 E467332:E467340 E467368:E467376 E467404:E467412 E467440:E467448 E467476:E467484 E467512:E467520 E467548:E467556 E467584:E467592 E467620:E467628 E467656:E467664 E467692:E467700 E467728:E467736 E467764:E467772 E467800:E467808 E467836:E467844 E467872:E467880 E467908:E467916 E467944:E467952 E467980:E467988 E468016:E468024 E468052:E468060 E468088:E468096 E468124:E468132 E468160:E468168 E468196:E468204 E468232:E468240 E468268:E468276 E468304:E468312 E468340:E468348 E468376:E468384 E468412:E468420 E468448:E468456 E468484:E468492 E468520:E468528 E468556:E468564 E468592:E468600 E468628:E468636 E468664:E468672 E468700:E468708 E468736:E468744 E468772:E468780 E468808:E468816 E468844:E468852 E468880:E468888 E468916:E468924 E468952:E468960 E468988:E468996 E469024:E469032 E469060:E469068 E469096:E469104 E469132:E469140 E469168:E469176 E469204:E469212 E469240:E469248 E469276:E469284 E469312:E469320 E469348:E469356 E469384:E469392 E469420:E469428 E469456:E469464 E469492:E469500 E469528:E469536 E469564:E469572 E469600:E469608 E469636:E469644 E469672:E469680 E469708:E469716 E469744:E469752 E469780:E469788 E469816:E469824 E469852:E469860 E469888:E469896 E469924:E469932 E469960:E469968 E469996:E470004 E470032:E470040 E470068:E470076 E470104:E470112 E470140:E470148 E470176:E470184 E470212:E470220 E470248:E470256 E470284:E470292 E470320:E470328 E470356:E470364 E470392:E470400 E470428:E470436 E470464:E470472 E470500:E470508 E470536:E470544 E470572:E470580 E470608:E470616 E470644:E470652 E470680:E470688 E470716:E470724 E470752:E470760 E470788:E470796 E470824:E470832 E470860:E470868 E470896:E470904 E470932:E470940 E470968:E470976 E471004:E471012 E471040:E471048 E471076:E471084 E471112:E471120 E471148:E471156 E471184:E471192 E471220:E471228 E471256:E471264 E471292:E471300 E471328:E471336 E471364:E471372 E471400:E471408 E471436:E471444 E471472:E471480 E471508:E471516 E471544:E471552 E471580:E471588 E471616:E471624 E471652:E471660 E471688:E471696 E471724:E471732 E471760:E471768 E471796:E471804 E471832:E471840 E471868:E471876 E471904:E471912 E471940:E471948 E471976:E471984 E472012:E472020 E472048:E472056 E472084:E472092 E472120:E472128 E472156:E472164 E472192:E472200 E472228:E472236 E472264:E472272 E472300:E472308 E472336:E472344 E472372:E472380 E472408:E472416 E472444:E472452 E472480:E472488 E472516:E472524 E472552:E472560 E472588:E472596 E472624:E472632 E472660:E472668 E472696:E472704 E472732:E472740 E472768:E472776 E472804:E472812 E472840:E472848 E472876:E472884 E472912:E472920 E472948:E472956 E472984:E472992 E473020:E473028 E473056:E473064 E473092:E473100 E473128:E473136 E473164:E473172 E473200:E473208 E473236:E473244 E473272:E473280 E473308:E473316 E473344:E473352 E473380:E473388 E473416:E473424 E473452:E473460 E473488:E473496 E473524:E473532 E473560:E473568 E473596:E473604 E473632:E473640 E473668:E473676 E473704:E473712 E473740:E473748 E473776:E473784 E473812:E473820 E473848:E473856 E473884:E473892 E473920:E473928 E473956:E473964 E473992:E474000 E474028:E474036 E474064:E474072 E474100:E474108 E474136:E474144 E474172:E474180 E474208:E474216 E474244:E474252 E474280:E474288 E474316:E474324 E474352:E474360 E474388:E474396 E474424:E474432 E474460:E474468 E474496:E474504 E474532:E474540 E474568:E474576 E474604:E474612 E474640:E474648 E474676:E474684 E474712:E474720 E474748:E474756 E474784:E474792 E474820:E474828 E474856:E474864 E474892:E474900 E474928:E474936 E474964:E474972 E475000:E475008 E475036:E475044 E475072:E475080 E475108:E475116 E475144:E475152 E475180:E475188 E475216:E475224 E475252:E475260 E475288:E475296 E475324:E475332 E475360:E475368 E475396:E475404 E475432:E475440 E475468:E475476 E475504:E475512 E475540:E475548 E475576:E475584 E475612:E475620 E475648:E475656 E475684:E475692 E475720:E475728 E475756:E475764 E475792:E475800 E475828:E475836 E475864:E475872 E475900:E475908 E475936:E475944 E475972:E475980 E476008:E476016 E476044:E476052 E476080:E476088 E476116:E476124 E476152:E476160 E476188:E476196 E476224:E476232 E476260:E476268 E476296:E476304 E476332:E476340 E476368:E476376 E476404:E476412 E476440:E476448 E476476:E476484 E476512:E476520 E476548:E476556 E476584:E476592 E476620:E476628 E476656:E476664 E476692:E476700 E476728:E476736 E476764:E476772 E476800:E476808 E476836:E476844 E476872:E476880 E476908:E476916 E476944:E476952 E476980:E476988 E477016:E477024 E477052:E477060 E477088:E477096 E477124:E477132 E477160:E477168 E477196:E477204 E477232:E477240 E477268:E477276 E477304:E477312 E477340:E477348 E477376:E477384 E477412:E477420 E477448:E477456 E477484:E477492 E477520:E477528 E477556:E477564 E477592:E477600 E477628:E477636 E477664:E477672 E477700:E477708 E477736:E477744 E477772:E477780 E477808:E477816 E477844:E477852 E477880:E477888 E477916:E477924 E477952:E477960 E477988:E477996 E478024:E478032 E478060:E478068 E478096:E478104 E478132:E478140 E478168:E478176 E478204:E478212 E478240:E478248 E478276:E478284 E478312:E478320 E478348:E478356 E478384:E478392 E478420:E478428 E478456:E478464 E478492:E478500 E478528:E478536 E478564:E478572 E478600:E478608 E478636:E478644 E478672:E478680 E478708:E478716 E478744:E478752 E478780:E478788 E478816:E478824 E478852:E478860 E478888:E478896 E478924:E478932 E478960:E478968 E478996:E479004 E479032:E479040 E479068:E479076 E479104:E479112 E479140:E479148 E479176:E479184 E479212:E479220 E479248:E479256 E479284:E479292 E479320:E479328 E479356:E479364 E479392:E479400 E479428:E479436 E479464:E479472 E479500:E479508 E479536:E479544 E479572:E479580 E479608:E479616 E479644:E479652 E479680:E479688 E479716:E479724 E479752:E479760 E479788:E479796 E479824:E479832 E479860:E479868 E479896:E479904 E479932:E479940 E479968:E479976 E480004:E480012 E480040:E480048 E480076:E480084 E480112:E480120 E480148:E480156 E480184:E480192 E480220:E480228 E480256:E480264 E480292:E480300 E480328:E480336 E480364:E480372 E480400:E480408 E480436:E480444 E480472:E480480 E480508:E480516 E480544:E480552 E480580:E480588 E480616:E480624 E480652:E480660 E480688:E480696 E480724:E480732 E480760:E480768 E480796:E480804 E480832:E480840 E480868:E480876 E480904:E480912 E480940:E480948 E480976:E480984 E481012:E481020 E481048:E481056 E481084:E481092 E481120:E481128 E481156:E481164 E481192:E481200 E481228:E481236 E481264:E481272 E481300:E481308 E481336:E481344 E481372:E481380 E481408:E481416 E481444:E481452 E481480:E481488 E481516:E481524 E481552:E481560 E481588:E481596 E481624:E481632 E481660:E481668 E481696:E481704 E481732:E481740 E481768:E481776 E481804:E481812 E481840:E481848 E481876:E481884 E481912:E481920 E481948:E481956 E481984:E481992 E482020:E482028 E482056:E482064 E482092:E482100 E482128:E482136 E482164:E482172 E482200:E482208 E482236:E482244 E482272:E482280 E482308:E482316 E482344:E482352 E482380:E482388 E482416:E482424 E482452:E482460 E482488:E482496 E482524:E482532 E482560:E482568 E482596:E482604 E482632:E482640 E482668:E482676 E482704:E482712 E482740:E482748 E482776:E482784 E482812:E482820 E482848:E482856 E482884:E482892 E482920:E482928 E482956:E482964 E482992:E483000 E483028:E483036 E483064:E483072 E483100:E483108 E483136:E483144 E483172:E483180 E483208:E483216 E483244:E483252 E483280:E483288 E483316:E483324 E483352:E483360 E483388:E483396 E483424:E483432 E483460:E483468 E483496:E483504 E483532:E483540 E483568:E483576 E483604:E483612 E483640:E483648 E483676:E483684 E483712:E483720 E483748:E483756 E483784:E483792 E483820:E483828 E483856:E483864 E483892:E483900 E483928:E483936 E483964:E483972 E484000:E484008 E484036:E484044 E484072:E484080 E484108:E484116 E484144:E484152 E484180:E484188 E484216:E484224 E484252:E484260 E484288:E484296 E484324:E484332 E484360:E484368 E484396:E484404 E484432:E484440 E484468:E484476 E484504:E484512 E484540:E484548 E484576:E484584 E484612:E484620 E484648:E484656 E484684:E484692 E484720:E484728 E484756:E484764 E484792:E484800 E484828:E484836 E484864:E484872 E484900:E484908 E484936:E484944 E484972:E484980 E485008:E485016 E485044:E485052 E485080:E485088 E485116:E485124 E485152:E485160 E485188:E485196 E485224:E485232 E485260:E485268 E485296:E485304 E485332:E485340 E485368:E485376 E485404:E485412 E485440:E485448 E485476:E485484 E485512:E485520 E485548:E485556 E485584:E485592 E485620:E485628 E485656:E485664 E485692:E485700 E485728:E485736 E485764:E485772 E485800:E485808 E485836:E485844 E485872:E485880 E485908:E485916 E485944:E485952 E485980:E485988 E486016:E486024 E486052:E486060 E486088:E486096 E486124:E486132 E486160:E486168 E486196:E486204 E486232:E486240 E486268:E486276 E486304:E486312 E486340:E486348 E486376:E486384 E486412:E486420 E486448:E486456 E486484:E486492 E486520:E486528 E486556:E486564 E486592:E486600 E486628:E486636 E486664:E486672 E486700:E486708 E486736:E486744 E486772:E486780 E486808:E486816 E486844:E486852 E486880:E486888 E486916:E486924 E486952:E486960 E486988:E486996 E487024:E487032 E487060:E487068 E487096:E487104 E487132:E487140 E487168:E487176 E487204:E487212 E487240:E487248 E487276:E487284 E487312:E487320 E487348:E487356 E487384:E487392 E487420:E487428 E487456:E487464 E487492:E487500 E487528:E487536 E487564:E487572 E487600:E487608 E487636:E487644 E487672:E487680 E487708:E487716 E487744:E487752 E487780:E487788 E487816:E487824 E487852:E487860 E487888:E487896 E487924:E487932 E487960:E487968 E487996:E488004 E488032:E488040 E488068:E488076 E488104:E488112 E488140:E488148 E488176:E488184 E488212:E488220 E488248:E488256 E488284:E488292 E488320:E488328 E488356:E488364 E488392:E488400 E488428:E488436 E488464:E488472 E488500:E488508 E488536:E488544 E488572:E488580 E488608:E488616 E488644:E488652 E488680:E488688 E488716:E488724 E488752:E488760 E488788:E488796 E488824:E488832 E488860:E488868 E488896:E488904 E488932:E488940 E488968:E488976 E489004:E489012 E489040:E489048 E489076:E489084 E489112:E489120 E489148:E489156 E489184:E489192 E489220:E489228 E489256:E489264 E489292:E489300 E489328:E489336 E489364:E489372 E489400:E489408 E489436:E489444 E489472:E489480 E489508:E489516 E489544:E489552 E489580:E489588 E489616:E489624 E489652:E489660 E489688:E489696 E489724:E489732 E489760:E489768 E489796:E489804 E489832:E489840 E489868:E489876 E489904:E489912 E489940:E489948 E489976:E489984 E490012:E490020 E490048:E490056 E490084:E490092 E490120:E490128 E490156:E490164 E490192:E490200 E490228:E490236 E490264:E490272 E490300:E490308 E490336:E490344 E490372:E490380 E490408:E490416 E490444:E490452 E490480:E490488 E490516:E490524 E490552:E490560 E490588:E490596 E490624:E490632 E490660:E490668 E490696:E490704 E490732:E490740 E490768:E490776 E490804:E490812 E490840:E490848 E490876:E490884 E490912:E490920 E490948:E490956 E490984:E490992 E491020:E491028 E491056:E491064 E491092:E491100 E491128:E491136 E491164:E491172 E491200:E491208 E491236:E491244 E491272:E491280 E491308:E491316 E491344:E491352 E491380:E491388 E491416:E491424 E491452:E491460 E491488:E491496 E491524:E491532 E491560:E491568 E491596:E491604 E491632:E491640 E491668:E491676 E491704:E491712 E491740:E491748 E491776:E491784 E491812:E491820 E491848:E491856 E491884:E491892 E491920:E491928 E491956:E491964 E491992:E492000 E492028:E492036 E492064:E492072 E492100:E492108 E492136:E492144 E492172:E492180 E492208:E492216 E492244:E492252 E492280:E492288 E492316:E492324 E492352:E492360 E492388:E492396 E492424:E492432 E492460:E492468 E492496:E492504 E492532:E492540 E492568:E492576 E492604:E492612 E492640:E492648 E492676:E492684 E492712:E492720 E492748:E492756 E492784:E492792 E492820:E492828 E492856:E492864 E492892:E492900 E492928:E492936 E492964:E492972 E493000:E493008 E493036:E493044 E493072:E493080 E493108:E493116 E493144:E493152 E493180:E493188 E493216:E493224 E493252:E493260 E493288:E493296 E493324:E493332 E493360:E493368 E493396:E493404 E493432:E493440 E493468:E493476 E493504:E493512 E493540:E493548 E493576:E493584 E493612:E493620 E493648:E493656 E493684:E493692 E493720:E493728 E493756:E493764 E493792:E493800 E493828:E493836 E493864:E493872 E493900:E493908 E493936:E493944 E493972:E493980 E494008:E494016 E494044:E494052 E494080:E494088 E494116:E494124 E494152:E494160 E494188:E494196 E494224:E494232 E494260:E494268 E494296:E494304 E494332:E494340 E494368:E494376 E494404:E494412 E494440:E494448 E494476:E494484 E494512:E494520 E494548:E494556 E494584:E494592 E494620:E494628 E494656:E494664 E494692:E494700 E494728:E494736 E494764:E494772 E494800:E494808 E494836:E494844 E494872:E494880 E494908:E494916 E494944:E494952 E494980:E494988 E495016:E495024 E495052:E495060 E495088:E495096 E495124:E495132 E495160:E495168 E495196:E495204 E495232:E495240 E495268:E495276 E495304:E495312 E495340:E495348 E495376:E495384 E495412:E495420 E495448:E495456 E495484:E495492 E495520:E495528 E495556:E495564 E495592:E495600 E495628:E495636 E495664:E495672 E495700:E495708 E495736:E495744 E495772:E495780 E495808:E495816 E495844:E495852 E495880:E495888 E495916:E495924 E495952:E495960 E495988:E495996 E496024:E496032 E496060:E496068 E496096:E496104 E496132:E496140 E496168:E496176 E496204:E496212 E496240:E496248 E496276:E496284 E496312:E496320 E496348:E496356 E496384:E496392 E496420:E496428 E496456:E496464 E496492:E496500 E496528:E496536 E496564:E496572 E496600:E496608 E496636:E496644 E496672:E496680 E496708:E496716 E496744:E496752 E496780:E496788 E496816:E496824 E496852:E496860 E496888:E496896 E496924:E496932 E496960:E496968 E496996:E497004 E497032:E497040 E497068:E497076 E497104:E497112 E497140:E497148 E497176:E497184 E497212:E497220 E497248:E497256 E497284:E497292 E497320:E497328 E497356:E497364 E497392:E497400 E497428:E497436 E497464:E497472 E497500:E497508 E497536:E497544 E497572:E497580 E497608:E497616 E497644:E497652 E497680:E497688 E497716:E497724 E497752:E497760 E497788:E497796 E497824:E497832 E497860:E497868 E497896:E497904 E497932:E497940 E497968:E497976 E498004:E498012 E498040:E498048 E498076:E498084 E498112:E498120 E498148:E498156 E498184:E498192 E498220:E498228 E498256:E498264 E498292:E498300 E498328:E498336 E498364:E498372 E498400:E498408 E498436:E498444 E498472:E498480 E498508:E498516 E498544:E498552 E498580:E498588 E498616:E498624 E498652:E498660 E498688:E498696 E498724:E498732 E498760:E498768 E498796:E498804 E498832:E498840 E498868:E498876 E498904:E498912 E498940:E498948 E498976:E498984 E499012:E499020 E499048:E499056 E499084:E499092 E499120:E499128 E499156:E499164 E499192:E499200 E499228:E499236 E499264:E499272 E499300:E499308 E499336:E499344 E499372:E499380 E499408:E499416 E499444:E499452 E499480:E499488 E499516:E499524 E499552:E499560 E499588:E499596 E499624:E499632 E499660:E499668 E499696:E499704 E499732:E499740 E499768:E499776 E499804:E499812 E499840:E499848 E499876:E499884 E499912:E499920 E499948:E499956 E499984:E499992 E500020:E500028 E500056:E500064 E500092:E500100 E500128:E500136 E500164:E500172 E500200:E500208 E500236:E500244 E500272:E500280 E500308:E500316 E500344:E500352 E500380:E500388 E500416:E500424 E500452:E500460 E500488:E500496 E500524:E500532 E500560:E500568 E500596:E500604 E500632:E500640 E500668:E500676 E500704:E500712 E500740:E500748 E500776:E500784 E500812:E500820 E500848:E500856 E500884:E500892 E500920:E500928 E500956:E500964 E500992:E501000 E501028:E501036 E501064:E501072 E501100:E501108 E501136:E501144 E501172:E501180 E501208:E501216 E501244:E501252 E501280:E501288 E501316:E501324 E501352:E501360 E501388:E501396 E501424:E501432 E501460:E501468 E501496:E501504 E501532:E501540 E501568:E501576 E501604:E501612 E501640:E501648 E501676:E501684 E501712:E501720 E501748:E501756 E501784:E501792 E501820:E501828 E501856:E501864 E501892:E501900 E501928:E501936 E501964:E501972 E502000:E502008 E502036:E502044 E502072:E502080 E502108:E502116 E502144:E502152 E502180:E502188 E502216:E502224 E502252:E502260 E502288:E502296 E502324:E502332 E502360:E502368 E502396:E502404 E502432:E502440 E502468:E502476 E502504:E502512 E502540:E502548 E502576:E502584 E502612:E502620 E502648:E502656 E502684:E502692 E502720:E502728 E502756:E502764 E502792:E502800 E502828:E502836 E502864:E502872 E502900:E502908 E502936:E502944 E502972:E502980 E503008:E503016 E503044:E503052 E503080:E503088 E503116:E503124 E503152:E503160 E503188:E503196 E503224:E503232 E503260:E503268 E503296:E503304 E503332:E503340 E503368:E503376 E503404:E503412 E503440:E503448 E503476:E503484 E503512:E503520 E503548:E503556 E503584:E503592 E503620:E503628 E503656:E503664 E503692:E503700 E503728:E503736 E503764:E503772 E503800:E503808 E503836:E503844 E503872:E503880 E503908:E503916 E503944:E503952 E503980:E503988 E504016:E504024 E504052:E504060 E504088:E504096 E504124:E504132 E504160:E504168 E504196:E504204 E504232:E504240 E504268:E504276 E504304:E504312 E504340:E504348 E504376:E504384 E504412:E504420 E504448:E504456 E504484:E504492 E504520:E504528 E504556:E504564 E504592:E504600 E504628:E504636 E504664:E504672 E504700:E504708 E504736:E504744 E504772:E504780 E504808:E504816 E504844:E504852 E504880:E504888 E504916:E504924 E504952:E504960 E504988:E504996 E505024:E505032 E505060:E505068 E505096:E505104 E505132:E505140 E505168:E505176 E505204:E505212 E505240:E505248 E505276:E505284 E505312:E505320 E505348:E505356 E505384:E505392 E505420:E505428 E505456:E505464 E505492:E505500 E505528:E505536 E505564:E505572 E505600:E505608 E505636:E505644 E505672:E505680 E505708:E505716 E505744:E505752 E505780:E505788 E505816:E505824 E505852:E505860 E505888:E505896 E505924:E505932 E505960:E505968 E505996:E506004 E506032:E506040 E506068:E506076 E506104:E506112 E506140:E506148 E506176:E506184 E506212:E506220 E506248:E506256 E506284:E506292 E506320:E506328 E506356:E506364 E506392:E506400 E506428:E506436 E506464:E506472 E506500:E506508 E506536:E506544 E506572:E506580 E506608:E506616 E506644:E506652 E506680:E506688 E506716:E506724 E506752:E506760 E506788:E506796 E506824:E506832 E506860:E506868 E506896:E506904 E506932:E506940 E506968:E506976 E507004:E507012 E507040:E507048 E507076:E507084 E507112:E507120 E507148:E507156 E507184:E507192 E507220:E507228 E507256:E507264 E507292:E507300 E507328:E507336 E507364:E507372 E507400:E507408 E507436:E507444 E507472:E507480 E507508:E507516 E507544:E507552 E507580:E507588 E507616:E507624 E507652:E507660 E507688:E507696 E507724:E507732 E507760:E507768 E507796:E507804 E507832:E507840 E507868:E507876 E507904:E507912 E507940:E507948 E507976:E507984 E508012:E508020 E508048:E508056 E508084:E508092 E508120:E508128 E508156:E508164 E508192:E508200 E508228:E508236 E508264:E508272 E508300:E508308 E508336:E508344 E508372:E508380 E508408:E508416 E508444:E508452 E508480:E508488 E508516:E508524 E508552:E508560 E508588:E508596 E508624:E508632 E508660:E508668 E508696:E508704 E508732:E508740 E508768:E508776 E508804:E508812 E508840:E508848 E508876:E508884 E508912:E508920 E508948:E508956 E508984:E508992 E509020:E509028 E509056:E509064 E509092:E509100 E509128:E509136 E509164:E509172 E509200:E509208 E509236:E509244 E509272:E509280 E509308:E509316 E509344:E509352 E509380:E509388 E509416:E509424 E509452:E509460 E509488:E509496 E509524:E509532 E509560:E509568 E509596:E509604 E509632:E509640 E509668:E509676 E509704:E509712 E509740:E509748 E509776:E509784 E509812:E509820 E509848:E509856 E509884:E509892 E509920:E509928 E509956:E509964 E509992:E510000 E510028:E510036 E510064:E510072 E510100:E510108 E510136:E510144 E510172:E510180 E510208:E510216 E510244:E510252 E510280:E510288 E510316:E510324 E510352:E510360 E510388:E510396 E510424:E510432 E510460:E510468 E510496:E510504 E510532:E510540 E510568:E510576 E510604:E510612 E510640:E510648 E510676:E510684 E510712:E510720 E510748:E510756 E510784:E510792 E510820:E510828 E510856:E510864 E510892:E510900 E510928:E510936 E510964:E510972 E511000:E511008 E511036:E511044 E511072:E511080 E511108:E511116 E511144:E511152 E511180:E511188 E511216:E511224 E511252:E511260 E511288:E511296 E511324:E511332 E511360:E511368 E511396:E511404 E511432:E511440 E511468:E511476 E511504:E511512 E511540:E511548 E511576:E511584 E511612:E511620 E511648:E511656 E511684:E511692 E511720:E511728 E511756:E511764 E511792:E511800 E511828:E511836 E511864:E511872 E511900:E511908 E511936:E511944 E511972:E511980 E512008:E512016 E512044:E512052 E512080:E512088 E512116:E512124 E512152:E512160 E512188:E512196 E512224:E512232 E512260:E512268 E512296:E512304 E512332:E512340 E512368:E512376 E512404:E512412 E512440:E512448 E512476:E512484 E512512:E512520 E512548:E512556 E512584:E512592 E512620:E512628 E512656:E512664 E512692:E512700 E512728:E512736 E512764:E512772 E512800:E512808 E512836:E512844 E512872:E512880 E512908:E512916 E512944:E512952 E512980:E512988 E513016:E513024 E513052:E513060 E513088:E513096 E513124:E513132 E513160:E513168 E513196:E513204 E513232:E513240 E513268:E513276 E513304:E513312 E513340:E513348 E513376:E513384 E513412:E513420 E513448:E513456 E513484:E513492 E513520:E513528 E513556:E513564 E513592:E513600 E513628:E513636 E513664:E513672 E513700:E513708 E513736:E513744 E513772:E513780 E513808:E513816 E513844:E513852 E513880:E513888 E513916:E513924 E513952:E513960 E513988:E513996 E514024:E514032 E514060:E514068 E514096:E514104 E514132:E514140 E514168:E514176 E514204:E514212 E514240:E514248 E514276:E514284 E514312:E514320 E514348:E514356 E514384:E514392 E514420:E514428 E514456:E514464 E514492:E514500 E514528:E514536 E514564:E514572 E514600:E514608 E514636:E514644 E514672:E514680 E514708:E514716 E514744:E514752 E514780:E514788 E514816:E514824 E514852:E514860 E514888:E514896 E514924:E514932 E514960:E514968 E514996:E515004 E515032:E515040 E515068:E515076 E515104:E515112 E515140:E515148 E515176:E515184 E515212:E515220 E515248:E515256 E515284:E515292 E515320:E515328 E515356:E515364 E515392:E515400 E515428:E515436 E515464:E515472 E515500:E515508 E515536:E515544 E515572:E515580 E515608:E515616 E515644:E515652 E515680:E515688 E515716:E515724 E515752:E515760 E515788:E515796 E515824:E515832 E515860:E515868 E515896:E515904 E515932:E515940 E515968:E515976 E516004:E516012 E516040:E516048 E516076:E516084 E516112:E516120 E516148:E516156 E516184:E516192 E516220:E516228 E516256:E516264 E516292:E516300 E516328:E516336 E516364:E516372 E516400:E516408 E516436:E516444 E516472:E516480 E516508:E516516 E516544:E516552 E516580:E516588 E516616:E516624 E516652:E516660 E516688:E516696 E516724:E516732 E516760:E516768 E516796:E516804 E516832:E516840 E516868:E516876 E516904:E516912 E516940:E516948 E516976:E516984 E517012:E517020 E517048:E517056 E517084:E517092 E517120:E517128 E517156:E517164 E517192:E517200 E517228:E517236 E517264:E517272 E517300:E517308 E517336:E517344 E517372:E517380 E517408:E517416 E517444:E517452 E517480:E517488 E517516:E517524 E517552:E517560 E517588:E517596 E517624:E517632 E517660:E517668 E517696:E517704 E517732:E517740 E517768:E517776 E517804:E517812 E517840:E517848 E517876:E517884 E517912:E517920 E517948:E517956 E517984:E517992 E518020:E518028 E518056:E518064 E518092:E518100 E518128:E518136 E518164:E518172 E518200:E518208 E518236:E518244 E518272:E518280 E518308:E518316 E518344:E518352 E518380:E518388 E518416:E518424 E518452:E518460 E518488:E518496 E518524:E518532 E518560:E518568 E518596:E518604 E518632:E518640 E518668:E518676 E518704:E518712 E518740:E518748 E518776:E518784 E518812:E518820 E518848:E518856 E518884:E518892 E518920:E518928 E518956:E518964 E518992:E519000 E519028:E519036 E519064:E519072 E519100:E519108 E519136:E519144 E519172:E519180 E519208:E519216 E519244:E519252 E519280:E519288 E519316:E519324 E519352:E519360 E519388:E519396 E519424:E519432 E519460:E519468 E519496:E519504 E519532:E519540 E519568:E519576 E519604:E519612 E519640:E519648 E519676:E519684 E519712:E519720 E519748:E519756 E519784:E519792 E519820:E519828 E519856:E519864 E519892:E519900 E519928:E519936 E519964:E519972 E520000:E520008 E520036:E520044 E520072:E520080 E520108:E520116 E520144:E520152 E520180:E520188 E520216:E520224 E520252:E520260 E520288:E520296 E520324:E520332 E520360:E520368 E520396:E520404 E520432:E520440 E520468:E520476 E520504:E520512 E520540:E520548 E520576:E520584 E520612:E520620 E520648:E520656 E520684:E520692 E520720:E520728 E520756:E520764 E520792:E520800 E520828:E520836 E520864:E520872 E520900:E520908 E520936:E520944 E520972:E520980 E521008:E521016 E521044:E521052 E521080:E521088 E521116:E521124 E521152:E521160 E521188:E521196 E521224:E521232 E521260:E521268 E521296:E521304 E521332:E521340 E521368:E521376 E521404:E521412 E521440:E521448 E521476:E521484 E521512:E521520 E521548:E521556 E521584:E521592 E521620:E521628 E521656:E521664 E521692:E521700 E521728:E521736 E521764:E521772 E521800:E521808 E521836:E521844 E521872:E521880 E521908:E521916 E521944:E521952 E521980:E521988 E522016:E522024 E522052:E522060 E522088:E522096 E522124:E522132 E522160:E522168 E522196:E522204 E522232:E522240 E522268:E522276 E522304:E522312 E522340:E522348 E522376:E522384 E522412:E522420 E522448:E522456 E522484:E522492 E522520:E522528 E522556:E522564 E522592:E522600 E522628:E522636 E522664:E522672 E522700:E522708 E522736:E522744 E522772:E522780 E522808:E522816 E522844:E522852 E522880:E522888 E522916:E522924 E522952:E522960 E522988:E522996 E523024:E523032 E523060:E523068 E523096:E523104 E523132:E523140 E523168:E523176 E523204:E523212 E523240:E523248 E523276:E523284 E523312:E523320 E523348:E523356 E523384:E523392 E523420:E523428 E523456:E523464 E523492:E523500 E523528:E523536 E523564:E523572 E523600:E523608 E523636:E523644 E523672:E523680 E523708:E523716 E523744:E523752 E523780:E523788 E523816:E523824 E523852:E523860 E523888:E523896 E523924:E523932 E523960:E523968 E523996:E524004 E524032:E524040 E524068:E524076 E524104:E524112 E524140:E524148 E524176:E524184 E524212:E524220 E524248:E524256 E524284:E524292 E524320:E524328 E524356:E524364 E524392:E524400 E524428:E524436 E524464:E524472 E524500:E524508 E524536:E524544 E524572:E524580 E524608:E524616 E524644:E524652 E524680:E524688 E524716:E524724 E524752:E524760 E524788:E524796 E524824:E524832 E524860:E524868 E524896:E524904 E524932:E524940 E524968:E524976 E525004:E525012 E525040:E525048 E525076:E525084 E525112:E525120 E525148:E525156 E525184:E525192 E525220:E525228 E525256:E525264 E525292:E525300 E525328:E525336 E525364:E525372 E525400:E525408 E525436:E525444 E525472:E525480 E525508:E525516 E525544:E525552 E525580:E525588 E525616:E525624 E525652:E525660 E525688:E525696 E525724:E525732 E525760:E525768 E525796:E525804 E525832:E525840 E525868:E525876 E525904:E525912 E525940:E525948 E525976:E525984 E526012:E526020 E526048:E526056 E526084:E526092 E526120:E526128 E526156:E526164 E526192:E526200 E526228:E526236 E526264:E526272 E526300:E526308 E526336:E526344 E526372:E526380 E526408:E526416 E526444:E526452 E526480:E526488 E526516:E526524 E526552:E526560 E526588:E526596 E526624:E526632 E526660:E526668 E526696:E526704 E526732:E526740 E526768:E526776 E526804:E526812 E526840:E526848 E526876:E526884 E526912:E526920 E526948:E526956 E526984:E526992 E527020:E527028 E527056:E527064 E527092:E527100 E527128:E527136 E527164:E527172 E527200:E527208 E527236:E527244 E527272:E527280 E527308:E527316 E527344:E527352 E527380:E527388 E527416:E527424 E527452:E527460 E527488:E527496 E527524:E527532 E527560:E527568 E527596:E527604 E527632:E527640 E527668:E527676 E527704:E527712 E527740:E527748 E527776:E527784 E527812:E527820 E527848:E527856 E527884:E527892 E527920:E527928 E527956:E527964 E527992:E528000 E528028:E528036 E528064:E528072 E528100:E528108 E528136:E528144 E528172:E528180 E528208:E528216 E528244:E528252 E528280:E528288 E528316:E528324 E528352:E528360 E528388:E528396 E528424:E528432 E528460:E528468 E528496:E528504 E528532:E528540 E528568:E528576 E528604:E528612 E528640:E528648 E528676:E528684 E528712:E528720 E528748:E528756 E528784:E528792 E528820:E528828 E528856:E528864 E528892:E528900 E528928:E528936 E528964:E528972 E529000:E529008 E529036:E529044 E529072:E529080 E529108:E529116 E529144:E529152 E529180:E529188 E529216:E529224 E529252:E529260 E529288:E529296 E529324:E529332 E529360:E529368 E529396:E529404 E529432:E529440 E529468:E529476 E529504:E529512 E529540:E529548 E529576:E529584 E529612:E529620 E529648:E529656 E529684:E529692 E529720:E529728 E529756:E529764 E529792:E529800 E529828:E529836 E529864:E529872 E529900:E529908 E529936:E529944 E529972:E529980 E530008:E530016 E530044:E530052 E530080:E530088 E530116:E530124 E530152:E530160 E530188:E530196 E530224:E530232 E530260:E530268 E530296:E530304 E530332:E530340 E530368:E530376 E530404:E530412 E530440:E530448 E530476:E530484 E530512:E530520 E530548:E530556 E530584:E530592 E530620:E530628 E530656:E530664 E530692:E530700 E530728:E530736 E530764:E530772 E530800:E530808 E530836:E530844 E530872:E530880 E530908:E530916 E530944:E530952 E530980:E530988 E531016:E531024 E531052:E531060 E531088:E531096 E531124:E531132 E531160:E531168 E531196:E531204 E531232:E531240 E531268:E531276 E531304:E531312 E531340:E531348 E531376:E531384 E531412:E531420 E531448:E531456 E531484:E531492 E531520:E531528 E531556:E531564 E531592:E531600 E531628:E531636 E531664:E531672 E531700:E531708 E531736:E531744 E531772:E531780 E531808:E531816 E531844:E531852 E531880:E531888 E531916:E531924 E531952:E531960 E531988:E531996 E532024:E532032 E532060:E532068 E532096:E532104 E532132:E532140 E532168:E532176 E532204:E532212 E532240:E532248 E532276:E532284 E532312:E532320 E532348:E532356 E532384:E532392 E532420:E532428 E532456:E532464 E532492:E532500 E532528:E532536 E532564:E532572 E532600:E532608 E532636:E532644 E532672:E532680 E532708:E532716 E532744:E532752 E532780:E532788 E532816:E532824 E532852:E532860 E532888:E532896 E532924:E532932 E532960:E532968 E532996:E533004 E533032:E533040 E533068:E533076 E533104:E533112 E533140:E533148 E533176:E533184 E533212:E533220 E533248:E533256 E533284:E533292 E533320:E533328 E533356:E533364 E533392:E533400 E533428:E533436 E533464:E533472 E533500:E533508 E533536:E533544 E533572:E533580 E533608:E533616 E533644:E533652 E533680:E533688 E533716:E533724 E533752:E533760 E533788:E533796 E533824:E533832 E533860:E533868 E533896:E533904 E533932:E533940 E533968:E533976 E534004:E534012 E534040:E534048 E534076:E534084 E534112:E534120 E534148:E534156 E534184:E534192 E534220:E534228 E534256:E534264 E534292:E534300 E534328:E534336 E534364:E534372 E534400:E534408 E534436:E534444 E534472:E534480 E534508:E534516 E534544:E534552 E534580:E534588 E534616:E534624 E534652:E534660 E534688:E534696 E534724:E534732 E534760:E534768 E534796:E534804 E534832:E534840 E534868:E534876 E534904:E534912 E534940:E534948 E534976:E534984 E535012:E535020 E535048:E535056 E535084:E535092 E535120:E535128 E535156:E535164 E535192:E535200 E535228:E535236 E535264:E535272 E535300:E535308 E535336:E535344 E535372:E535380 E535408:E535416 E535444:E535452 E535480:E535488 E535516:E535524 E535552:E535560 E535588:E535596 E535624:E535632 E535660:E535668 E535696:E535704 E535732:E535740 E535768:E535776 E535804:E535812 E535840:E535848 E535876:E535884 E535912:E535920 E535948:E535956 E535984:E535992 E536020:E536028 E536056:E536064 E536092:E536100 E536128:E536136 E536164:E536172 E536200:E536208 E536236:E536244 E536272:E536280 E536308:E536316 E536344:E536352 E536380:E536388 E536416:E536424 E536452:E536460 E536488:E536496 E536524:E536532 E536560:E536568 E536596:E536604 E536632:E536640 E536668:E536676 E536704:E536712 E536740:E536748 E536776:E536784 E536812:E536820 E536848:E536856 E536884:E536892 E536920:E536928 E536956:E536964 E536992:E537000 E537028:E537036 E537064:E537072 E537100:E537108 E537136:E537144 E537172:E537180 E537208:E537216 E537244:E537252 E537280:E537288 E537316:E537324 E537352:E537360 E537388:E537396 E537424:E537432 E537460:E537468 E537496:E537504 E537532:E537540 E537568:E537576 E537604:E537612 E537640:E537648 E537676:E537684 E537712:E537720 E537748:E537756 E537784:E537792 E537820:E537828 E537856:E537864 E537892:E537900 E537928:E537936 E537964:E537972 E538000:E538008 E538036:E538044 E538072:E538080 E538108:E538116 E538144:E538152 E538180:E538188 E538216:E538224 E538252:E538260 E538288:E538296 E538324:E538332 E538360:E538368 E538396:E538404 E538432:E538440 E538468:E538476 E538504:E538512 E538540:E538548 E538576:E538584 E538612:E538620 E538648:E538656 E538684:E538692 E538720:E538728 E538756:E538764 E538792:E538800 E538828:E538836 E538864:E538872 E538900:E538908 E538936:E538944 E538972:E538980 E539008:E539016 E539044:E539052 E539080:E539088 E539116:E539124 E539152:E539160 E539188:E539196 E539224:E539232 E539260:E539268 E539296:E539304 E539332:E539340 E539368:E539376 E539404:E539412 E539440:E539448 E539476:E539484 E539512:E539520 E539548:E539556 E539584:E539592 E539620:E539628 E539656:E539664 E539692:E539700 E539728:E539736 E539764:E539772 E539800:E539808 E539836:E539844 E539872:E539880 E539908:E539916 E539944:E539952 E539980:E539988 E540016:E540024 E540052:E540060 E540088:E540096 E540124:E540132 E540160:E540168 E540196:E540204 E540232:E540240 E540268:E540276 E540304:E540312 E540340:E540348 E540376:E540384 E540412:E540420 E540448:E540456 E540484:E540492 E540520:E540528 E540556:E540564 E540592:E540600 E540628:E540636 E540664:E540672 E540700:E540708 E540736:E540744 E540772:E540780 E540808:E540816 E540844:E540852 E540880:E540888 E540916:E540924 E540952:E540960 E540988:E540996 E541024:E541032 E541060:E541068 E541096:E541104 E541132:E541140 E541168:E541176 E541204:E541212 E541240:E541248 E541276:E541284 E541312:E541320 E541348:E541356 E541384:E541392 E541420:E541428 E541456:E541464 E541492:E541500 E541528:E541536 E541564:E541572 E541600:E541608 E541636:E541644 E541672:E541680 E541708:E541716 E541744:E541752 E541780:E541788 E541816:E541824 E541852:E541860 E541888:E541896 E541924:E541932 E541960:E541968 E541996:E542004 E542032:E542040 E542068:E542076 E542104:E542112 E542140:E542148 E542176:E542184 E542212:E542220 E542248:E542256 E542284:E542292 E542320:E542328 E542356:E542364 E542392:E542400 E542428:E542436 E542464:E542472 E542500:E542508 E542536:E542544 E542572:E542580 E542608:E542616 E542644:E542652 E542680:E542688 E542716:E542724 E542752:E542760 E542788:E542796 E542824:E542832 E542860:E542868 E542896:E542904 E542932:E542940 E542968:E542976 E543004:E543012 E543040:E543048 E543076:E543084 E543112:E543120 E543148:E543156 E543184:E543192 E543220:E543228 E543256:E543264 E543292:E543300 E543328:E543336 E543364:E543372 E543400:E543408 E543436:E543444 E543472:E543480 E543508:E543516 E543544:E543552 E543580:E543588 E543616:E543624 E543652:E543660 E543688:E543696 E543724:E543732 E543760:E543768 E543796:E543804 E543832:E543840 E543868:E543876 E543904:E543912 E543940:E543948 E543976:E543984 E544012:E544020 E544048:E544056 E544084:E544092 E544120:E544128 E544156:E544164 E544192:E544200 E544228:E544236 E544264:E544272 E544300:E544308 E544336:E544344 E544372:E544380 E544408:E544416 E544444:E544452 E544480:E544488 E544516:E544524 E544552:E544560 E544588:E544596 E544624:E544632 E544660:E544668 E544696:E544704 E544732:E544740 E544768:E544776 E544804:E544812 E544840:E544848 E544876:E544884 E544912:E544920 E544948:E544956 E544984:E544992 E545020:E545028 E545056:E545064 E545092:E545100 E545128:E545136 E545164:E545172 E545200:E545208 E545236:E545244 E545272:E545280 E545308:E545316 E545344:E545352 E545380:E545388 E545416:E545424 E545452:E545460 E545488:E545496 E545524:E545532 E545560:E545568 E545596:E545604 E545632:E545640 E545668:E545676 E545704:E545712 E545740:E545748 E545776:E545784 E545812:E545820 E545848:E545856 E545884:E545892 E545920:E545928 E545956:E545964 E545992:E546000 E546028:E546036 E546064:E546072 E546100:E546108 E546136:E546144 E546172:E546180 E546208:E546216 E546244:E546252 E546280:E546288 E546316:E546324 E546352:E546360 E546388:E546396 E546424:E546432 E546460:E546468 E546496:E546504 E546532:E546540 E546568:E546576 E546604:E546612 E546640:E546648 E546676:E546684 E546712:E546720 E546748:E546756 E546784:E546792 E546820:E546828 E546856:E546864 E546892:E546900 E546928:E546936 E546964:E546972 E547000:E547008 E547036:E547044 E547072:E547080 E547108:E547116 E547144:E547152 E547180:E547188 E547216:E547224 E547252:E547260 E547288:E547296 E547324:E547332 E547360:E547368 E547396:E547404 E547432:E547440 E547468:E547476 E547504:E547512 E547540:E547548 E547576:E547584 E547612:E547620 E547648:E547656 E547684:E547692 E547720:E547728 E547756:E547764 E547792:E547800 E547828:E547836 E547864:E547872 E547900:E547908 E547936:E547944 E547972:E547980 E548008:E548016 E548044:E548052 E548080:E548088 E548116:E548124 E548152:E548160 E548188:E548196 E548224:E548232 E548260:E548268 E548296:E548304 E548332:E548340 E548368:E548376 E548404:E548412 E548440:E548448 E548476:E548484 E548512:E548520 E548548:E548556 E548584:E548592 E548620:E548628 E548656:E548664 E548692:E548700 E548728:E548736 E548764:E548772 E548800:E548808 E548836:E548844 E548872:E548880 E548908:E548916 E548944:E548952 E548980:E548988 E549016:E549024 E549052:E549060 E549088:E549096 E549124:E549132 E549160:E549168 E549196:E549204 E549232:E549240 E549268:E549276 E549304:E549312 E549340:E549348 E549376:E549384 E549412:E549420 E549448:E549456 E549484:E549492 E549520:E549528 E549556:E549564 E549592:E549600 E549628:E549636 E549664:E549672 E549700:E549708 E549736:E549744 E549772:E549780 E549808:E549816 E549844:E549852 E549880:E549888 E549916:E549924 E549952:E549960 E549988:E549996 E550024:E550032 E550060:E550068 E550096:E550104 E550132:E550140 E550168:E550176 E550204:E550212 E550240:E550248 E550276:E550284 E550312:E550320 E550348:E550356 E550384:E550392 E550420:E550428 E550456:E550464 E550492:E550500 E550528:E550536 E550564:E550572 E550600:E550608 E550636:E550644 E550672:E550680 E550708:E550716 E550744:E550752 E550780:E550788 E550816:E550824 E550852:E550860 E550888:E550896 E550924:E550932 E550960:E550968 E550996:E551004 E551032:E551040 E551068:E551076 E551104:E551112 E551140:E551148 E551176:E551184 E551212:E551220 E551248:E551256 E551284:E551292 E551320:E551328 E551356:E551364 E551392:E551400 E551428:E551436 E551464:E551472 E551500:E551508 E551536:E551544 E551572:E551580 E551608:E551616 E551644:E551652 E551680:E551688 E551716:E551724 E551752:E551760 E551788:E551796 E551824:E551832 E551860:E551868 E551896:E551904 E551932:E551940 E551968:E551976 E552004:E552012 E552040:E552048 E552076:E552084 E552112:E552120 E552148:E552156 E552184:E552192 E552220:E552228 E552256:E552264 E552292:E552300 E552328:E552336 E552364:E552372 E552400:E552408 E552436:E552444 E552472:E552480 E552508:E552516 E552544:E552552 E552580:E552588 E552616:E552624 E552652:E552660 E552688:E552696 E552724:E552732 E552760:E552768 E552796:E552804 E552832:E552840 E552868:E552876 E552904:E552912 E552940:E552948 E552976:E552984 E553012:E553020 E553048:E553056 E553084:E553092 E553120:E553128 E553156:E553164 E553192:E553200 E553228:E553236 E553264:E553272 E553300:E553308 E553336:E553344 E553372:E553380 E553408:E553416 E553444:E553452 E553480:E553488 E553516:E553524 E553552:E553560 E553588:E553596 E553624:E553632 E553660:E553668 E553696:E553704 E553732:E553740 E553768:E553776 E553804:E553812 E553840:E553848 E553876:E553884 E553912:E553920 E553948:E553956 E553984:E553992 E554020:E554028 E554056:E554064 E554092:E554100 E554128:E554136 E554164:E554172 E554200:E554208 E554236:E554244 E554272:E554280 E554308:E554316 E554344:E554352 E554380:E554388 E554416:E554424 E554452:E554460 E554488:E554496 E554524:E554532 E554560:E554568 E554596:E554604 E554632:E554640 E554668:E554676 E554704:E554712 E554740:E554748 E554776:E554784 E554812:E554820 E554848:E554856 E554884:E554892 E554920:E554928 E554956:E554964 E554992:E555000 E555028:E555036 E555064:E555072 E555100:E555108 E555136:E555144 E555172:E555180 E555208:E555216 E555244:E555252 E555280:E555288 E555316:E555324 E555352:E555360 E555388:E555396 E555424:E555432 E555460:E555468 E555496:E555504 E555532:E555540 E555568:E555576 E555604:E555612 E555640:E555648 E555676:E555684 E555712:E555720 E555748:E555756 E555784:E555792 E555820:E555828 E555856:E555864 E555892:E555900 E555928:E555936 E555964:E555972 E556000:E556008 E556036:E556044 E556072:E556080 E556108:E556116 E556144:E556152 E556180:E556188 E556216:E556224 E556252:E556260 E556288:E556296 E556324:E556332 E556360:E556368 E556396:E556404 E556432:E556440 E556468:E556476 E556504:E556512 E556540:E556548 E556576:E556584 E556612:E556620 E556648:E556656 E556684:E556692 E556720:E556728 E556756:E556764 E556792:E556800 E556828:E556836 E556864:E556872 E556900:E556908 E556936:E556944 E556972:E556980 E557008:E557016 E557044:E557052 E557080:E557088 E557116:E557124 E557152:E557160 E557188:E557196 E557224:E557232 E557260:E557268 E557296:E557304 E557332:E557340 E557368:E557376 E557404:E557412 E557440:E557448 E557476:E557484 E557512:E557520 E557548:E557556 E557584:E557592 E557620:E557628 E557656:E557664 E557692:E557700 E557728:E557736 E557764:E557772 E557800:E557808 E557836:E557844 E557872:E557880 E557908:E557916 E557944:E557952 E557980:E557988 E558016:E558024 E558052:E558060 E558088:E558096 E558124:E558132 E558160:E558168 E558196:E558204 E558232:E558240 E558268:E558276 E558304:E558312 E558340:E558348 E558376:E558384 E558412:E558420 E558448:E558456 E558484:E558492 E558520:E558528 E558556:E558564 E558592:E558600 E558628:E558636 E558664:E558672 E558700:E558708 E558736:E558744 E558772:E558780 E558808:E558816 E558844:E558852 E558880:E558888 E558916:E558924 E558952:E558960 E558988:E558996 E559024:E559032 E559060:E559068 E559096:E559104 E559132:E559140 E559168:E559176 E559204:E559212 E559240:E559248 E559276:E559284 E559312:E559320 E559348:E559356 E559384:E559392 E559420:E559428 E559456:E559464 E559492:E559500 E559528:E559536 E559564:E559572 E559600:E559608 E559636:E559644 E559672:E559680 E559708:E559716 E559744:E559752 E559780:E559788 E559816:E559824 E559852:E559860 E559888:E559896 E559924:E559932 E559960:E559968 E559996:E560004 E560032:E560040 E560068:E560076 E560104:E560112 E560140:E560148 E560176:E560184 E560212:E560220 E560248:E560256 E560284:E560292 E560320:E560328 E560356:E560364 E560392:E560400 E560428:E560436 E560464:E560472 E560500:E560508 E560536:E560544 E560572:E560580 E560608:E560616 E560644:E560652 E560680:E560688 E560716:E560724 E560752:E560760 E560788:E560796 E560824:E560832 E560860:E560868 E560896:E560904 E560932:E560940 E560968:E560976 E561004:E561012 E561040:E561048 E561076:E561084 E561112:E561120 E561148:E561156 E561184:E561192 E561220:E561228 E561256:E561264 E561292:E561300 E561328:E561336 E561364:E561372 E561400:E561408 E561436:E561444 E561472:E561480 E561508:E561516 E561544:E561552 E561580:E561588 E561616:E561624 E561652:E561660 E561688:E561696 E561724:E561732 E561760:E561768 E561796:E561804 E561832:E561840 E561868:E561876 E561904:E561912 E561940:E561948 E561976:E561984 E562012:E562020 E562048:E562056 E562084:E562092 E562120:E562128 E562156:E562164 E562192:E562200 E562228:E562236 E562264:E562272 E562300:E562308 E562336:E562344 E562372:E562380 E562408:E562416 E562444:E562452 E562480:E562488 E562516:E562524 E562552:E562560 E562588:E562596 E562624:E562632 E562660:E562668 E562696:E562704 E562732:E562740 E562768:E562776 E562804:E562812 E562840:E562848 E562876:E562884 E562912:E562920 E562948:E562956 E562984:E562992 E563020:E563028 E563056:E563064 E563092:E563100 E563128:E563136 E563164:E563172 E563200:E563208 E563236:E563244 E563272:E563280 E563308:E563316 E563344:E563352 E563380:E563388 E563416:E563424 E563452:E563460 E563488:E563496 E563524:E563532 E563560:E563568 E563596:E563604 E563632:E563640 E563668:E563676 E563704:E563712 E563740:E563748 E563776:E563784 E563812:E563820 E563848:E563856 E563884:E563892 E563920:E563928 E563956:E563964 E563992:E564000 E564028:E564036 E564064:E564072 E564100:E564108 E564136:E564144 E564172:E564180 E564208:E564216 E564244:E564252 E564280:E564288 E564316:E564324 E564352:E564360 E564388:E564396 E564424:E564432 E564460:E564468 E564496:E564504 E564532:E564540 E564568:E564576 E564604:E564612 E564640:E564648 E564676:E564684 E564712:E564720 E564748:E564756 E564784:E564792 E564820:E564828 E564856:E564864 E564892:E564900 E564928:E564936 E564964:E564972 E565000:E565008 E565036:E565044 E565072:E565080 E565108:E565116 E565144:E565152 E565180:E565188 E565216:E565224 E565252:E565260 E565288:E565296 E565324:E565332 E565360:E565368 E565396:E565404 E565432:E565440 E565468:E565476 E565504:E565512 E565540:E565548 E565576:E565584 E565612:E565620 E565648:E565656 E565684:E565692 E565720:E565728 E565756:E565764 E565792:E565800 E565828:E565836 E565864:E565872 E565900:E565908 E565936:E565944 E565972:E565980 E566008:E566016 E566044:E566052 E566080:E566088 E566116:E566124 E566152:E566160 E566188:E566196 E566224:E566232 E566260:E566268 E566296:E566304 E566332:E566340 E566368:E566376 E566404:E566412 E566440:E566448 E566476:E566484 E566512:E566520 E566548:E566556 E566584:E566592 E566620:E566628 E566656:E566664 E566692:E566700 E566728:E566736 E566764:E566772 E566800:E566808 E566836:E566844 E566872:E566880 E566908:E566916 E566944:E566952 E566980:E566988 E567016:E567024 E567052:E567060 E567088:E567096 E567124:E567132 E567160:E567168 E567196:E567204 E567232:E567240 E567268:E567276 E567304:E567312 E567340:E567348 E567376:E567384 E567412:E567420 E567448:E567456 E567484:E567492 E567520:E567528 E567556:E567564 E567592:E567600 E567628:E567636 E567664:E567672 E567700:E567708 E567736:E567744 E567772:E567780 E567808:E567816 E567844:E567852 E567880:E567888 E567916:E567924 E567952:E567960 E567988:E567996 E568024:E568032 E568060:E568068 E568096:E568104 E568132:E568140 E568168:E568176 E568204:E568212 E568240:E568248 E568276:E568284 E568312:E568320 E568348:E568356 E568384:E568392 E568420:E568428 E568456:E568464 E568492:E568500 E568528:E568536 E568564:E568572 E568600:E568608 E568636:E568644 E568672:E568680 E568708:E568716 E568744:E568752 E568780:E568788 E568816:E568824 E568852:E568860 E568888:E568896 E568924:E568932 E568960:E568968 E568996:E569004 E569032:E569040 E569068:E569076 E569104:E569112 E569140:E569148 E569176:E569184 E569212:E569220 E569248:E569256 E569284:E569292 E569320:E569328 E569356:E569364 E569392:E569400 E569428:E569436 E569464:E569472 E569500:E569508 E569536:E569544 E569572:E569580 E569608:E569616 E569644:E569652 E569680:E569688 E569716:E569724 E569752:E569760 E569788:E569796 E569824:E569832 E569860:E569868 E569896:E569904 E569932:E569940 E569968:E569976 E570004:E570012 E570040:E570048 E570076:E570084 E570112:E570120 E570148:E570156 E570184:E570192 E570220:E570228 E570256:E570264 E570292:E570300 E570328:E570336 E570364:E570372 E570400:E570408 E570436:E570444 E570472:E570480 E570508:E570516 E570544:E570552 E570580:E570588 E570616:E570624 E570652:E570660 E570688:E570696 E570724:E570732 E570760:E570768 E570796:E570804 E570832:E570840 E570868:E570876 E570904:E570912 E570940:E570948 E570976:E570984 E571012:E571020 E571048:E571056 E571084:E571092 E571120:E571128 E571156:E571164 E571192:E571200 E571228:E571236 E571264:E571272 E571300:E571308 E571336:E571344 E571372:E571380 E571408:E571416 E571444:E571452 E571480:E571488 E571516:E571524 E571552:E571560 E571588:E571596 E571624:E571632 E571660:E571668 E571696:E571704 E571732:E571740 E571768:E571776 E571804:E571812 E571840:E571848 E571876:E571884 E571912:E571920 E571948:E571956 E571984:E571992 E572020:E572028 E572056:E572064 E572092:E572100 E572128:E572136 E572164:E572172 E572200:E572208 E572236:E572244 E572272:E572280 E572308:E572316 E572344:E572352 E572380:E572388 E572416:E572424 E572452:E572460 E572488:E572496 E572524:E572532 E572560:E572568 E572596:E572604 E572632:E572640 E572668:E572676 E572704:E572712 E572740:E572748 E572776:E572784 E572812:E572820 E572848:E572856 E572884:E572892 E572920:E572928 E572956:E572964 E572992:E573000 E573028:E573036 E573064:E573072 E573100:E573108 E573136:E573144 E573172:E573180 E573208:E573216 E573244:E573252 E573280:E573288 E573316:E573324 E573352:E573360 E573388:E573396 E573424:E573432 E573460:E573468 E573496:E573504 E573532:E573540 E573568:E573576 E573604:E573612 E573640:E573648 E573676:E573684 E573712:E573720 E573748:E573756 E573784:E573792 E573820:E573828 E573856:E573864 E573892:E573900 E573928:E573936 E573964:E573972 E574000:E574008 E574036:E574044 E574072:E574080 E574108:E574116 E574144:E574152 E574180:E574188 E574216:E574224 E574252:E574260 E574288:E574296 E574324:E574332 E574360:E574368 E574396:E574404 E574432:E574440 E574468:E574476 E574504:E574512 E574540:E574548 E574576:E574584 E574612:E574620 E574648:E574656 E574684:E574692 E574720:E574728 E574756:E574764 E574792:E574800 E574828:E574836 E574864:E574872 E574900:E574908 E574936:E574944 E574972:E574980 E575008:E575016 E575044:E575052 E575080:E575088 E575116:E575124 E575152:E575160 E575188:E575196 E575224:E575232 E575260:E575268 E575296:E575304 E575332:E575340 E575368:E575376 E575404:E575412 E575440:E575448 E575476:E575484 E575512:E575520 E575548:E575556 E575584:E575592 E575620:E575628 E575656:E575664 E575692:E575700 E575728:E575736 E575764:E575772 E575800:E575808 E575836:E575844 E575872:E575880 E575908:E575916 E575944:E575952 E575980:E575988 E576016:E576024 E576052:E576060 E576088:E576096 E576124:E576132 E576160:E576168 E576196:E576204 E576232:E576240 E576268:E576276 E576304:E576312 E576340:E576348 E576376:E576384 E576412:E576420 E576448:E576456 E576484:E576492 E576520:E576528 E576556:E576564 E576592:E576600 E576628:E576636 E576664:E576672 E576700:E576708 E576736:E576744 E576772:E576780 E576808:E576816 E576844:E576852 E576880:E576888 E576916:E576924 E576952:E576960 E576988:E576996 E577024:E577032 E577060:E577068 E577096:E577104 E577132:E577140 E577168:E577176 E577204:E577212 E577240:E577248 E577276:E577284 E577312:E577320 E577348:E577356 E577384:E577392 E577420:E577428 E577456:E577464 E577492:E577500 E577528:E577536 E577564:E577572 E577600:E577608 E577636:E577644 E577672:E577680 E577708:E577716 E577744:E577752 E577780:E577788 E577816:E577824 E577852:E577860 E577888:E577896 E577924:E577932 E577960:E577968 E577996:E578004 E578032:E578040 E578068:E578076 E578104:E578112 E578140:E578148 E578176:E578184 E578212:E578220 E578248:E578256 E578284:E578292 E578320:E578328 E578356:E578364 E578392:E578400 E578428:E578436 E578464:E578472 E578500:E578508 E578536:E578544 E578572:E578580 E578608:E578616 E578644:E578652 E578680:E578688 E578716:E578724 E578752:E578760 E578788:E578796 E578824:E578832 E578860:E578868 E578896:E578904 E578932:E578940 E578968:E578976 E579004:E579012 E579040:E579048 E579076:E579084 E579112:E579120 E579148:E579156 E579184:E579192 E579220:E579228 E579256:E579264 E579292:E579300 E579328:E579336 E579364:E579372 E579400:E579408 E579436:E579444 E579472:E579480 E579508:E579516 E579544:E579552 E579580:E579588 E579616:E579624 E579652:E579660 E579688:E579696 E579724:E579732 E579760:E579768 E579796:E579804 E579832:E579840 E579868:E579876 E579904:E579912 E579940:E579948 E579976:E579984 E580012:E580020 E580048:E580056 E580084:E580092 E580120:E580128 E580156:E580164 E580192:E580200 E580228:E580236 E580264:E580272 E580300:E580308 E580336:E580344 E580372:E580380 E580408:E580416 E580444:E580452 E580480:E580488 E580516:E580524 E580552:E580560 E580588:E580596 E580624:E580632 E580660:E580668 E580696:E580704 E580732:E580740 E580768:E580776 E580804:E580812 E580840:E580848 E580876:E580884 E580912:E580920 E580948:E580956 E580984:E580992 E581020:E581028 E581056:E581064 E581092:E581100 E581128:E581136 E581164:E581172 E581200:E581208 E581236:E581244 E581272:E581280 E581308:E581316 E581344:E581352 E581380:E581388 E581416:E581424 E581452:E581460 E581488:E581496 E581524:E581532 E581560:E581568 E581596:E581604 E581632:E581640 E581668:E581676 E581704:E581712 E581740:E581748 E581776:E581784 E581812:E581820 E581848:E581856 E581884:E581892 E581920:E581928 E581956:E581964 E581992:E582000 E582028:E582036 E582064:E582072 E582100:E582108 E582136:E582144 E582172:E582180 E582208:E582216 E582244:E582252 E582280:E582288 E582316:E582324 E582352:E582360 E582388:E582396 E582424:E582432 E582460:E582468 E582496:E582504 E582532:E582540 E582568:E582576 E582604:E582612 E582640:E582648 E582676:E582684 E582712:E582720 E582748:E582756 E582784:E582792 E582820:E582828 E582856:E582864 E582892:E582900 E582928:E582936 E582964:E582972 E583000:E583008 E583036:E583044 E583072:E583080 E583108:E583116 E583144:E583152 E583180:E583188 E583216:E583224 E583252:E583260 E583288:E583296 E583324:E583332 E583360:E583368 E583396:E583404 E583432:E583440 E583468:E583476 E583504:E583512 E583540:E583548 E583576:E583584 E583612:E583620 E583648:E583656 E583684:E583692 E583720:E583728 E583756:E583764 E583792:E583800 E583828:E583836 E583864:E583872 E583900:E583908 E583936:E583944 E583972:E583980 E584008:E584016 E584044:E584052 E584080:E584088 E584116:E584124 E584152:E584160 E584188:E584196 E584224:E584232 E584260:E584268 E584296:E584304 E584332:E584340 E584368:E584376 E584404:E584412 E584440:E584448 E584476:E584484 E584512:E584520 E584548:E584556 E584584:E584592 E584620:E584628 E584656:E584664 E584692:E584700 E584728:E584736 E584764:E584772 E584800:E584808 E584836:E584844 E584872:E584880 E584908:E584916 E584944:E584952 E584980:E584988 E585016:E585024 E585052:E585060 E585088:E585096 E585124:E585132 E585160:E585168 E585196:E585204 E585232:E585240 E585268:E585276 E585304:E585312 E585340:E585348 E585376:E585384 E585412:E585420 E585448:E585456 E585484:E585492 E585520:E585528 E585556:E585564 E585592:E585600 E585628:E585636 E585664:E585672 E585700:E585708 E585736:E585744 E585772:E585780 E585808:E585816 E585844:E585852 E585880:E585888 E585916:E585924 E585952:E585960 E585988:E585996 E586024:E586032 E586060:E586068 E586096:E586104 E586132:E586140 E586168:E586176 E586204:E586212 E586240:E586248 E586276:E586284 E586312:E586320 E586348:E586356 E586384:E586392 E586420:E586428 E586456:E586464 E586492:E586500 E586528:E586536 E586564:E586572 E586600:E586608 E586636:E586644 E586672:E586680 E586708:E586716 E586744:E586752 E586780:E586788 E586816:E586824 E586852:E586860 E586888:E586896 E586924:E586932 E586960:E586968 E586996:E587004 E587032:E587040 E587068:E587076 E587104:E587112 E587140:E587148 E587176:E587184 E587212:E587220 E587248:E587256 E587284:E587292 E587320:E587328 E587356:E587364 E587392:E587400 E587428:E587436 E587464:E587472 E587500:E587508 E587536:E587544 E587572:E587580 E587608:E587616 E587644:E587652 E587680:E587688 E587716:E587724 E587752:E587760 E587788:E587796 E587824:E587832 E587860:E587868 E587896:E587904 E587932:E587940 E587968:E587976 E588004:E588012 E588040:E588048 E588076:E588084 E588112:E588120 E588148:E588156 E588184:E588192 E588220:E588228 E588256:E588264 E588292:E588300 E588328:E588336 E588364:E588372 E588400:E588408 E588436:E588444 E588472:E588480 E588508:E588516 E588544:E588552 E588580:E588588 E588616:E588624 E588652:E588660 E588688:E588696 E588724:E588732 E588760:E588768 E588796:E588804 E588832:E588840 E588868:E588876 E588904:E588912 E588940:E588948 E588976:E588984 E589012:E589020 E589048:E589056 E589084:E589092 E589120:E589128 E589156:E589164 E589192:E589200 E589228:E589236 E589264:E589272 E589300:E589308 E589336:E589344 E589372:E589380 E589408:E589416 E589444:E589452 E589480:E589488 E589516:E589524 E589552:E589560 E589588:E589596 E589624:E589632 E589660:E589668 E589696:E589704 E589732:E589740 E589768:E589776 E589804:E589812 E589840:E589848 E589876:E589884 E589912:E589920 E589948:E589956 E589984:E589992 E590020:E590028 E590056:E590064 E590092:E590100 E590128:E590136 E590164:E590172 E590200:E590208 E590236:E590244 E590272:E590280 E590308:E590316 E590344:E590352 E590380:E590388 E590416:E590424 E590452:E590460 E590488:E590496 E590524:E590532 E590560:E590568 E590596:E590604 E590632:E590640 E590668:E590676 E590704:E590712 E590740:E590748 E590776:E590784 E590812:E590820 E590848:E590856 E590884:E590892 E590920:E590928 E590956:E590964 E590992:E591000 E591028:E591036 E591064:E591072 E591100:E591108 E591136:E591144 E591172:E591180 E591208:E591216 E591244:E591252 E591280:E591288 E591316:E591324 E591352:E591360 E591388:E591396 E591424:E591432 E591460:E591468 E591496:E591504 E591532:E591540 E591568:E591576 E591604:E591612 E591640:E591648 E591676:E591684 E591712:E591720 E591748:E591756 E591784:E591792 E591820:E591828 E591856:E591864 E591892:E591900 E591928:E591936 E591964:E591972 E592000:E592008 E592036:E592044 E592072:E592080 E592108:E592116 E592144:E592152 E592180:E592188 E592216:E592224 E592252:E592260 E592288:E592296 E592324:E592332 E592360:E592368 E592396:E592404 E592432:E592440 E592468:E592476 E592504:E592512 E592540:E592548 E592576:E592584 E592612:E592620 E592648:E592656 E592684:E592692 E592720:E592728 E592756:E592764 E592792:E592800 E592828:E592836 E592864:E592872 E592900:E592908 E592936:E592944 E592972:E592980 E593008:E593016 E593044:E593052 E593080:E593088 E593116:E593124 E593152:E593160 E593188:E593196 E593224:E593232 E593260:E593268 E593296:E593304 E593332:E593340 E593368:E593376 E593404:E593412 E593440:E593448 E593476:E593484 E593512:E593520 E593548:E593556 E593584:E593592 E593620:E593628 E593656:E593664 E593692:E593700 E593728:E593736 E593764:E593772 E593800:E593808 E593836:E593844 E593872:E593880 E593908:E593916 E593944:E593952 E593980:E593988 E594016:E594024 E594052:E594060 E594088:E594096 E594124:E594132 E594160:E594168 E594196:E594204 E594232:E594240 E594268:E594276 E594304:E594312 E594340:E594348 E594376:E594384 E594412:E594420 E594448:E594456 E594484:E594492 E594520:E594528 E594556:E594564 E594592:E594600 E594628:E594636 E594664:E594672 E594700:E594708 E594736:E594744 E594772:E594780 E594808:E594816 E594844:E594852 E594880:E594888 E594916:E594924 E594952:E594960 E594988:E594996 E595024:E595032 E595060:E595068 E595096:E595104 E595132:E595140 E595168:E595176 E595204:E595212 E595240:E595248 E595276:E595284 E595312:E595320 E595348:E595356 E595384:E595392 E595420:E595428 E595456:E595464 E595492:E595500 E595528:E595536 E595564:E595572 E595600:E595608 E595636:E595644 E595672:E595680 E595708:E595716 E595744:E595752 E595780:E595788 E595816:E595824 E595852:E595860 E595888:E595896 E595924:E595932 E595960:E595968 E595996:E596004 E596032:E596040 E596068:E596076 E596104:E596112 E596140:E596148 E596176:E596184 E596212:E596220 E596248:E596256 E596284:E596292 E596320:E596328 E596356:E596364 E596392:E596400 E596428:E596436 E596464:E596472 E596500:E596508 E596536:E596544 E596572:E596580 E596608:E596616 E596644:E596652 E596680:E596688 E596716:E596724 E596752:E596760 E596788:E596796 E596824:E596832 E596860:E596868 E596896:E596904 E596932:E596940 E596968:E596976 E597004:E597012 E597040:E597048 E597076:E597084 E597112:E597120 E597148:E597156 E597184:E597192 E597220:E597228 E597256:E597264 E597292:E597300 E597328:E597336 E597364:E597372 E597400:E597408 E597436:E597444 E597472:E597480 E597508:E597516 E597544:E597552 E597580:E597588 E597616:E597624 E597652:E597660 E597688:E597696 E597724:E597732 E597760:E597768 E597796:E597804 E597832:E597840 E597868:E597876 E597904:E597912 E597940:E597948 E597976:E597984 E598012:E598020 E598048:E598056 E598084:E598092 E598120:E598128 E598156:E598164 E598192:E598200 E598228:E598236 E598264:E598272 E598300:E598308 E598336:E598344 E598372:E598380 E598408:E598416 E598444:E598452 E598480:E598488 E598516:E598524 E598552:E598560 E598588:E598596 E598624:E598632 E598660:E598668 E598696:E598704 E598732:E598740 E598768:E598776 E598804:E598812 E598840:E598848 E598876:E598884 E598912:E598920 E598948:E598956 E598984:E598992 E599020:E599028 E599056:E599064 E599092:E599100 E599128:E599136 E599164:E599172 E599200:E599208 E599236:E599244 E599272:E599280 E599308:E599316 E599344:E599352 E599380:E599388 E599416:E599424 E599452:E599460 E599488:E599496 E599524:E599532 E599560:E599568 E599596:E599604 E599632:E599640 E599668:E599676 E599704:E599712 E599740:E599748 E599776:E599784 E599812:E599820 E599848:E599856 E599884:E599892 E599920:E599928 E599956:E599964 E599992:E600000 E600028:E600036 E600064:E600072 E600100:E600108 E600136:E600144 E600172:E600180 E600208:E600216 E600244:E600252 E600280:E600288 E600316:E600324 E600352:E600360 E600388:E600396 E600424:E600432 E600460:E600468 E600496:E600504 E600532:E600540 E600568:E600576 E600604:E600612 E600640:E600648 E600676:E600684 E600712:E600720 E600748:E600756 E600784:E600792 E600820:E600828 E600856:E600864 E600892:E600900 E600928:E600936 E600964:E600972 E601000:E601008 E601036:E601044 E601072:E601080 E601108:E601116 E601144:E601152 E601180:E601188 E601216:E601224 E601252:E601260 E601288:E601296 E601324:E601332 E601360:E601368 E601396:E601404 E601432:E601440 E601468:E601476 E601504:E601512 E601540:E601548 E601576:E601584 E601612:E601620 E601648:E601656 E601684:E601692 E601720:E601728 E601756:E601764 E601792:E601800 E601828:E601836 E601864:E601872 E601900:E601908 E601936:E601944 E601972:E601980 E602008:E602016 E602044:E602052 E602080:E602088 E602116:E602124 E602152:E602160 E602188:E602196 E602224:E602232 E602260:E602268 E602296:E602304 E602332:E602340 E602368:E602376 E602404:E602412 E602440:E602448 E602476:E602484 E602512:E602520 E602548:E602556 E602584:E602592 E602620:E602628 E602656:E602664 E602692:E602700 E602728:E602736 E602764:E602772 E602800:E602808 E602836:E602844 E602872:E602880 E602908:E602916 E602944:E602952 E602980:E602988 E603016:E603024 E603052:E603060 E603088:E603096 E603124:E603132 E603160:E603168 E603196:E603204 E603232:E603240 E603268:E603276 E603304:E603312 E603340:E603348 E603376:E603384 E603412:E603420 E603448:E603456 E603484:E603492 E603520:E603528 E603556:E603564 E603592:E603600 E603628:E603636 E603664:E603672 E603700:E603708 E603736:E603744 E603772:E603780 E603808:E603816 E603844:E603852 E603880:E603888 E603916:E603924 E603952:E603960 E603988:E603996 E604024:E604032 E604060:E604068 E604096:E604104 E604132:E604140 E604168:E604176 E604204:E604212 E604240:E604248 E604276:E604284 E604312:E604320 E604348:E604356 E604384:E604392 E604420:E604428 E604456:E604464 E604492:E604500 E604528:E604536 E604564:E604572 E604600:E604608 E604636:E604644 E604672:E604680 E604708:E604716 E604744:E604752 E604780:E604788 E604816:E604824 E604852:E604860 E604888:E604896 E604924:E604932 E604960:E604968 E604996:E605004 E605032:E605040 E605068:E605076 E605104:E605112 E605140:E605148 E605176:E605184 E605212:E605220 E605248:E605256 E605284:E605292 E605320:E605328 E605356:E605364 E605392:E605400 E605428:E605436 E605464:E605472 E605500:E605508 E605536:E605544 E605572:E605580 E605608:E605616 E605644:E605652 E605680:E605688 E605716:E605724 E605752:E605760 E605788:E605796 E605824:E605832 E605860:E605868 E605896:E605904 E605932:E605940 E605968:E605976 E606004:E606012 E606040:E606048 E606076:E606084 E606112:E606120 E606148:E606156 E606184:E606192 E606220:E606228 E606256:E606264 E606292:E606300 E606328:E606336 E606364:E606372 E606400:E606408 E606436:E606444 E606472:E606480 E606508:E606516 E606544:E606552 E606580:E606588 E606616:E606624 E606652:E606660 E606688:E606696 E606724:E606732 E606760:E606768 E606796:E606804 E606832:E606840 E606868:E606876 E606904:E606912 E606940:E606948 E606976:E606984 E607012:E607020 E607048:E607056 E607084:E607092 E607120:E607128 E607156:E607164 E607192:E607200 E607228:E607236 E607264:E607272 E607300:E607308 E607336:E607344 E607372:E607380 E607408:E607416 E607444:E607452 E607480:E607488 E607516:E607524 E607552:E607560 E607588:E607596 E607624:E607632 E607660:E607668 E607696:E607704 E607732:E607740 E607768:E607776 E607804:E607812 E607840:E607848 E607876:E607884 E607912:E607920 E607948:E607956 E607984:E607992 E608020:E608028 E608056:E608064 E608092:E608100 E608128:E608136 E608164:E608172 E608200:E608208 E608236:E608244 E608272:E608280 E608308:E608316 E608344:E608352 E608380:E608388 E608416:E608424 E608452:E608460 E608488:E608496 E608524:E608532 E608560:E608568 E608596:E608604 E608632:E608640 E608668:E608676 E608704:E608712 E608740:E608748 E608776:E608784 E608812:E608820 E608848:E608856 E608884:E608892 E608920:E608928 E608956:E608964 E608992:E609000 E609028:E609036 E609064:E609072 E609100:E609108 E609136:E609144 E609172:E609180 E609208:E609216 E609244:E609252 E609280:E609288 E609316:E609324 E609352:E609360 E609388:E609396 E609424:E609432 E609460:E609468 E609496:E609504 E609532:E609540 E609568:E609576 E609604:E609612 E609640:E609648 E609676:E609684 E609712:E609720 E609748:E609756 E609784:E609792 E609820:E609828 E609856:E609864 E609892:E609900 E609928:E609936 E609964:E609972 E610000:E610008 E610036:E610044 E610072:E610080 E610108:E610116 E610144:E610152 E610180:E610188 E610216:E610224 E610252:E610260 E610288:E610296 E610324:E610332 E610360:E610368 E610396:E610404 E610432:E610440 E610468:E610476 E610504:E610512 E610540:E610548 E610576:E610584 E610612:E610620 E610648:E610656 E610684:E610692 E610720:E610728 E610756:E610764 E610792:E610800 E610828:E610836 E610864:E610872 E610900:E610908 E610936:E610944 E610972:E610980 E611008:E611016 E611044:E611052 E611080:E611088 E611116:E611124 E611152:E611160 E611188:E611196 E611224:E611232 E611260:E611268 E611296:E611304 E611332:E611340 E611368:E611376 E611404:E611412 E611440:E611448 E611476:E611484 E611512:E611520 E611548:E611556 E611584:E611592 E611620:E611628 E611656:E611664 E611692:E611700 E611728:E611736 E611764:E611772 E611800:E611808 E611836:E611844 E611872:E611880 E611908:E611916 E611944:E611952 E611980:E611988 E612016:E612024 E612052:E612060 E612088:E612096 E612124:E612132 E612160:E612168 E612196:E612204 E612232:E612240 E612268:E612276 E612304:E612312 E612340:E612348 E612376:E612384 E612412:E612420 E612448:E612456 E612484:E612492 E612520:E612528 E612556:E612564 E612592:E612600 E612628:E612636 E612664:E612672 E612700:E612708 E612736:E612744 E612772:E612780 E612808:E612816 E612844:E612852 E612880:E612888 E612916:E612924 E612952:E612960 E612988:E612996 E613024:E613032 E613060:E613068 E613096:E613104 E613132:E613140 E613168:E613176 E613204:E613212 E613240:E613248 E613276:E613284 E613312:E613320 E613348:E613356 E613384:E613392 E613420:E613428 E613456:E613464 E613492:E613500 E613528:E613536 E613564:E613572 E613600:E613608 E613636:E613644 E613672:E613680 E613708:E613716 E613744:E613752 E613780:E613788 E613816:E613824 E613852:E613860 E613888:E613896 E613924:E613932 E613960:E613968 E613996:E614004 E614032:E614040 E614068:E614076 E614104:E614112 E614140:E614148 E614176:E614184 E614212:E614220 E614248:E614256 E614284:E614292 E614320:E614328 E614356:E614364 E614392:E614400 E614428:E614436 E614464:E614472 E614500:E614508 E614536:E614544 E614572:E614580 E614608:E614616 E614644:E614652 E614680:E614688 E614716:E614724 E614752:E614760 E614788:E614796 E614824:E614832 E614860:E614868 E614896:E614904 E614932:E614940 E614968:E614976 E615004:E615012 E615040:E615048 E615076:E615084 E615112:E615120 E615148:E615156 E615184:E615192 E615220:E615228 E615256:E615264 E615292:E615300 E615328:E615336 E615364:E615372 E615400:E615408 E615436:E615444 E615472:E615480 E615508:E615516 E615544:E615552 E615580:E615588 E615616:E615624 E615652:E615660 E615688:E615696 E615724:E615732 E615760:E615768 E615796:E615804 E615832:E615840 E615868:E615876 E615904:E615912 E615940:E615948 E615976:E615984 E616012:E616020 E616048:E616056 E616084:E616092 E616120:E616128 E616156:E616164 E616192:E616200 E616228:E616236 E616264:E616272 E616300:E616308 E616336:E616344 E616372:E616380 E616408:E616416 E616444:E616452 E616480:E616488 E616516:E616524 E616552:E616560 E616588:E616596 E616624:E616632 E616660:E616668 E616696:E616704 E616732:E616740 E616768:E616776 E616804:E616812 E616840:E616848 E616876:E616884 E616912:E616920 E616948:E616956 E616984:E616992 E617020:E617028 E617056:E617064 E617092:E617100 E617128:E617136 E617164:E617172 E617200:E617208 E617236:E617244 E617272:E617280 E617308:E617316 E617344:E617352 E617380:E617388 E617416:E617424 E617452:E617460 E617488:E617496 E617524:E617532 E617560:E617568 E617596:E617604 E617632:E617640 E617668:E617676 E617704:E617712 E617740:E617748 E617776:E617784 E617812:E617820 E617848:E617856 E617884:E617892 E617920:E617928 E617956:E617964 E617992:E618000 E618028:E618036 E618064:E618072 E618100:E618108 E618136:E618144 E618172:E618180 E618208:E618216 E618244:E618252 E618280:E618288 E618316:E618324 E618352:E618360 E618388:E618396 E618424:E618432 E618460:E618468 E618496:E618504 E618532:E618540 E618568:E618576 E618604:E618612 E618640:E618648 E618676:E618684 E618712:E618720 E618748:E618756 E618784:E618792 E618820:E618828 E618856:E618864 E618892:E618900 E618928:E618936 E618964:E618972 E619000:E619008 E619036:E619044 E619072:E619080 E619108:E619116 E619144:E619152 E619180:E619188 E619216:E619224 E619252:E619260 E619288:E619296 E619324:E619332 E619360:E619368 E619396:E619404 E619432:E619440 E619468:E619476 E619504:E619512 E619540:E619548 E619576:E619584 E619612:E619620 E619648:E619656 E619684:E619692 E619720:E619728 E619756:E619764 E619792:E619800 E619828:E619836 E619864:E619872 E619900:E619908 E619936:E619944 E619972:E619980 E620008:E620016 E620044:E620052 E620080:E620088 E620116:E620124 E620152:E620160 E620188:E620196 E620224:E620232 E620260:E620268 E620296:E620304 E620332:E620340 E620368:E620376 E620404:E620412 E620440:E620448 E620476:E620484 E620512:E620520 E620548:E620556 E620584:E620592 E620620:E620628 E620656:E620664 E620692:E620700 E620728:E620736 E620764:E620772 E620800:E620808 E620836:E620844 E620872:E620880 E620908:E620916 E620944:E620952 E620980:E620988 E621016:E621024 E621052:E621060 E621088:E621096 E621124:E621132 E621160:E621168 E621196:E621204 E621232:E621240 E621268:E621276 E621304:E621312 E621340:E621348 E621376:E621384 E621412:E621420 E621448:E621456 E621484:E621492 E621520:E621528 E621556:E621564 E621592:E621600 E621628:E621636 E621664:E621672 E621700:E621708 E621736:E621744 E621772:E621780 E621808:E621816 E621844:E621852 E621880:E621888 E621916:E621924 E621952:E621960 E621988:E621996 E622024:E622032 E622060:E622068 E622096:E622104 E622132:E622140 E622168:E622176 E622204:E622212 E622240:E622248 E622276:E622284 E622312:E622320 E622348:E622356 E622384:E622392 E622420:E622428 E622456:E622464 E622492:E622500 E622528:E622536 E622564:E622572 E622600:E622608 E622636:E622644 E622672:E622680 E622708:E622716 E622744:E622752 E622780:E622788 E622816:E622824 E622852:E622860 E622888:E622896 E622924:E622932 E622960:E622968 E622996:E623004 E623032:E623040 E623068:E623076 E623104:E623112 E623140:E623148 E623176:E623184 E623212:E623220 E623248:E623256 E623284:E623292 E623320:E623328 E623356:E623364 E623392:E623400 E623428:E623436 E623464:E623472 E623500:E623508 E623536:E623544 E623572:E623580 E623608:E623616 E623644:E623652 E623680:E623688 E623716:E623724 E623752:E623760 E623788:E623796 E623824:E623832 E623860:E623868 E623896:E623904 E623932:E623940 E623968:E623976 E624004:E624012 E624040:E624048 E624076:E624084 E624112:E624120 E624148:E624156 E624184:E624192 E624220:E624228 E624256:E624264 E624292:E624300 E624328:E624336 E624364:E624372 E624400:E624408 E624436:E624444 E624472:E624480 E624508:E624516 E624544:E624552 E624580:E624588 E624616:E624624 E624652:E624660 E624688:E624696 E624724:E624732 E624760:E624768 E624796:E624804 E624832:E624840 E624868:E624876 E624904:E624912 E624940:E624948 E624976:E624984 E625012:E625020 E625048:E625056 E625084:E625092 E625120:E625128 E625156:E625164 E625192:E625200 E625228:E625236 E625264:E625272 E625300:E625308 E625336:E625344 E625372:E625380 E625408:E625416 E625444:E625452 E625480:E625488 E625516:E625524 E625552:E625560 E625588:E625596 E625624:E625632 E625660:E625668 E625696:E625704 E625732:E625740 E625768:E625776 E625804:E625812 E625840:E625848 E625876:E625884 E625912:E625920 E625948:E625956 E625984:E625992 E626020:E626028 E626056:E626064 E626092:E626100 E626128:E626136 E626164:E626172 E626200:E626208 E626236:E626244 E626272:E626280 E626308:E626316 E626344:E626352 E626380:E626388 E626416:E626424 E626452:E626460 E626488:E626496 E626524:E626532 E626560:E626568 E626596:E626604 E626632:E626640 E626668:E626676 E626704:E626712 E626740:E626748 E626776:E626784 E626812:E626820 E626848:E626856 E626884:E626892 E626920:E626928 E626956:E626964 E626992:E627000 E627028:E627036 E627064:E627072 E627100:E627108 E627136:E627144 E627172:E627180 E627208:E627216 E627244:E627252 E627280:E627288 E627316:E627324 E627352:E627360 E627388:E627396 E627424:E627432 E627460:E627468 E627496:E627504 E627532:E627540 E627568:E627576 E627604:E627612 E627640:E627648 E627676:E627684 E627712:E627720 E627748:E627756 E627784:E627792 E627820:E627828 E627856:E627864 E627892:E627900 E627928:E627936 E627964:E627972 E628000:E628008 E628036:E628044 E628072:E628080 E628108:E628116 E628144:E628152 E628180:E628188 E628216:E628224 E628252:E628260 E628288:E628296 E628324:E628332 E628360:E628368 E628396:E628404 E628432:E628440 E628468:E628476 E628504:E628512 E628540:E628548 E628576:E628584 E628612:E628620 E628648:E628656 E628684:E628692 E628720:E628728 E628756:E628764 E628792:E628800 E628828:E628836 E628864:E628872 E628900:E628908 E628936:E628944 E628972:E628980 E629008:E629016 E629044:E629052 E629080:E629088 E629116:E629124 E629152:E629160 E629188:E629196 E629224:E629232 E629260:E629268 E629296:E629304 E629332:E629340 E629368:E629376 E629404:E629412 E629440:E629448 E629476:E629484 E629512:E629520 E629548:E629556 E629584:E629592 E629620:E629628 E629656:E629664 E629692:E629700 E629728:E629736 E629764:E629772 E629800:E629808 E629836:E629844 E629872:E629880 E629908:E629916 E629944:E629952 E629980:E629988 E630016:E630024 E630052:E630060 E630088:E630096 E630124:E630132 E630160:E630168 E630196:E630204 E630232:E630240 E630268:E630276 E630304:E630312 E630340:E630348 E630376:E630384 E630412:E630420 E630448:E630456 E630484:E630492 E630520:E630528 E630556:E630564 E630592:E630600 E630628:E630636 E630664:E630672 E630700:E630708 E630736:E630744 E630772:E630780 E630808:E630816 E630844:E630852 E630880:E630888 E630916:E630924 E630952:E630960 E630988:E630996 E631024:E631032 E631060:E631068 E631096:E631104 E631132:E631140 E631168:E631176 E631204:E631212 E631240:E631248 E631276:E631284 E631312:E631320 E631348:E631356 E631384:E631392 E631420:E631428 E631456:E631464 E631492:E631500 E631528:E631536 E631564:E631572 E631600:E631608 E631636:E631644 E631672:E631680 E631708:E631716 E631744:E631752 E631780:E631788 E631816:E631824 E631852:E631860 E631888:E631896 E631924:E631932 E631960:E631968 E631996:E632004 E632032:E632040 E632068:E632076 E632104:E632112 E632140:E632148 E632176:E632184 E632212:E632220 E632248:E632256 E632284:E632292 E632320:E632328 E632356:E632364 E632392:E632400 E632428:E632436 E632464:E632472 E632500:E632508 E632536:E632544 E632572:E632580 E632608:E632616 E632644:E632652 E632680:E632688 E632716:E632724 E632752:E632760 E632788:E632796 E632824:E632832 E632860:E632868 E632896:E632904 E632932:E632940 E632968:E632976 E633004:E633012 E633040:E633048 E633076:E633084 E633112:E633120 E633148:E633156 E633184:E633192 E633220:E633228 E633256:E633264 E633292:E633300 E633328:E633336 E633364:E633372 E633400:E633408 E633436:E633444 E633472:E633480 E633508:E633516 E633544:E633552 E633580:E633588 E633616:E633624 E633652:E633660 E633688:E633696 E633724:E633732 E633760:E633768 E633796:E633804 E633832:E633840 E633868:E633876 E633904:E633912 E633940:E633948 E633976:E633984 E634012:E634020 E634048:E634056 E634084:E634092 E634120:E634128 E634156:E634164 E634192:E634200 E634228:E634236 E634264:E634272 E634300:E634308 E634336:E634344 E634372:E634380 E634408:E634416 E634444:E634452 E634480:E634488 E634516:E634524 E634552:E634560 E634588:E634596 E634624:E634632 E634660:E634668 E634696:E634704 E634732:E634740 E634768:E634776 E634804:E634812 E634840:E634848 E634876:E634884 E634912:E634920 E634948:E634956 E634984:E634992 E635020:E635028 E635056:E635064 E635092:E635100 E635128:E635136 E635164:E635172 E635200:E635208 E635236:E635244 E635272:E635280 E635308:E635316 E635344:E635352 E635380:E635388 E635416:E635424 E635452:E635460 E635488:E635496 E635524:E635532 E635560:E635568 E635596:E635604 E635632:E635640 E635668:E635676 E635704:E635712 E635740:E635748 E635776:E635784 E635812:E635820 E635848:E635856 E635884:E635892 E635920:E635928 E635956:E635964 E635992:E636000 E636028:E636036 E636064:E636072 E636100:E636108 E636136:E636144 E636172:E636180 E636208:E636216 E636244:E636252 E636280:E636288 E636316:E636324 E636352:E636360 E636388:E636396 E636424:E636432 E636460:E636468 E636496:E636504 E636532:E636540 E636568:E636576 E636604:E636612 E636640:E636648 E636676:E636684 E636712:E636720 E636748:E636756 E636784:E636792 E636820:E636828 E636856:E636864 E636892:E636900 E636928:E636936 E636964:E636972 E637000:E637008 E637036:E637044 E637072:E637080 E637108:E637116 E637144:E637152 E637180:E637188 E637216:E637224 E637252:E637260 E637288:E637296 E637324:E637332 E637360:E637368 E637396:E637404 E637432:E637440 E637468:E637476 E637504:E637512 E637540:E637548 E637576:E637584 E637612:E637620 E637648:E637656 E637684:E637692 E637720:E637728 E637756:E637764 E637792:E637800 E637828:E637836 E637864:E637872 E637900:E637908 E637936:E637944 E637972:E637980 E638008:E638016 E638044:E638052 E638080:E638088 E638116:E638124 E638152:E638160 E638188:E638196 E638224:E638232 E638260:E638268 E638296:E638304 E638332:E638340 E638368:E638376 E638404:E638412 E638440:E638448 E638476:E638484 E638512:E638520 E638548:E638556 E638584:E638592 E638620:E638628 E638656:E638664 E638692:E638700 E638728:E638736 E638764:E638772 E638800:E638808 E638836:E638844 E638872:E638880 E638908:E638916 E638944:E638952 E638980:E638988 E639016:E639024 E639052:E639060 E639088:E639096 E639124:E639132 E639160:E639168 E639196:E639204 E639232:E639240 E639268:E639276 E639304:E639312 E639340:E639348 E639376:E639384 E639412:E639420 E639448:E639456 E639484:E639492 E639520:E639528 E639556:E639564 E639592:E639600 E639628:E639636 E639664:E639672 E639700:E639708 E639736:E639744 E639772:E639780 E639808:E639816 E639844:E639852 E639880:E639888 E639916:E639924 E639952:E639960 E639988:E639996 E640024:E640032 E640060:E640068 E640096:E640104 E640132:E640140 E640168:E640176 E640204:E640212 E640240:E640248 E640276:E640284 E640312:E640320 E640348:E640356 E640384:E640392 E640420:E640428 E640456:E640464 E640492:E640500 E640528:E640536 E640564:E640572 E640600:E640608 E640636:E640644 E640672:E640680 E640708:E640716 E640744:E640752 E640780:E640788 E640816:E640824 E640852:E640860 E640888:E640896 E640924:E640932 E640960:E640968 E640996:E641004 E641032:E641040 E641068:E641076 E641104:E641112 E641140:E641148 E641176:E641184 E641212:E641220 E641248:E641256 E641284:E641292 E641320:E641328 E641356:E641364 E641392:E641400 E641428:E641436 E641464:E641472 E641500:E641508 E641536:E641544 E641572:E641580 E641608:E641616 E641644:E641652 E641680:E641688 E641716:E641724 E641752:E641760 E641788:E641796 E641824:E641832 E641860:E641868 E641896:E641904 E641932:E641940 E641968:E641976 E642004:E642012 E642040:E642048 E642076:E642084 E642112:E642120 E642148:E642156 E642184:E642192 E642220:E642228 E642256:E642264 E642292:E642300 E642328:E642336 E642364:E642372 E642400:E642408 E642436:E642444 E642472:E642480 E642508:E642516 E642544:E642552 E642580:E642588 E642616:E642624 E642652:E642660 E642688:E642696 E642724:E642732 E642760:E642768 E642796:E642804 E642832:E642840 E642868:E642876 E642904:E642912 E642940:E642948 E642976:E642984 E643012:E643020 E643048:E643056 E643084:E643092 E643120:E643128 E643156:E643164 E643192:E643200 E643228:E643236 E643264:E643272 E643300:E643308 E643336:E643344 E643372:E643380 E643408:E643416 E643444:E643452 E643480:E643488 E643516:E643524 E643552:E643560 E643588:E643596 E643624:E643632 E643660:E643668 E643696:E643704 E643732:E643740 E643768:E643776 E643804:E643812 E643840:E643848 E643876:E643884 E643912:E643920 E643948:E643956 E643984:E643992 E644020:E644028 E644056:E644064 E644092:E644100 E644128:E644136 E644164:E644172 E644200:E644208 E644236:E644244 E644272:E644280 E644308:E644316 E644344:E644352 E644380:E644388 E644416:E644424 E644452:E644460 E644488:E644496 E644524:E644532 E644560:E644568 E644596:E644604 E644632:E644640 E644668:E644676 E644704:E644712 E644740:E644748 E644776:E644784 E644812:E644820 E644848:E644856 E644884:E644892 E644920:E644928 E644956:E644964 E644992:E645000 E645028:E645036 E645064:E645072 E645100:E645108 E645136:E645144 E645172:E645180 E645208:E645216 E645244:E645252 E645280:E645288 E645316:E645324 E645352:E645360 E645388:E645396 E645424:E645432 E645460:E645468 E645496:E645504 E645532:E645540 E645568:E645576 E645604:E645612 E645640:E645648 E645676:E645684 E645712:E645720 E645748:E645756 E645784:E645792 E645820:E645828 E645856:E645864 E645892:E645900 E645928:E645936 E645964:E645972 E646000:E646008 E646036:E646044 E646072:E646080 E646108:E646116 E646144:E646152 E646180:E646188 E646216:E646224 E646252:E646260 E646288:E646296 E646324:E646332 E646360:E646368 E646396:E646404 E646432:E646440 E646468:E646476 E646504:E646512 E646540:E646548 E646576:E646584 E646612:E646620 E646648:E646656 E646684:E646692 E646720:E646728 E646756:E646764 E646792:E646800 E646828:E646836 E646864:E646872 E646900:E646908 E646936:E646944 E646972:E646980 E647008:E647016 E647044:E647052 E647080:E647088 E647116:E647124 E647152:E647160 E647188:E647196 E647224:E647232 E647260:E647268 E647296:E647304 E647332:E647340 E647368:E647376 E647404:E647412 E647440:E647448 E647476:E647484 E647512:E647520 E647548:E647556 E647584:E647592 E647620:E647628 E647656:E647664 E647692:E647700 E647728:E647736 E647764:E647772 E647800:E647808 E647836:E647844 E647872:E647880 E647908:E647916 E647944:E647952 E647980:E647988 E648016:E648024 E648052:E648060 E648088:E648096 E648124:E648132 E648160:E648168 E648196:E648204 E648232:E648240 E648268:E648276 E648304:E648312 E648340:E648348 E648376:E648384 E648412:E648420 E648448:E648456 E648484:E648492 E648520:E648528 E648556:E648564 E648592:E648600 E648628:E648636 E648664:E648672 E648700:E648708 E648736:E648744 E648772:E648780 E648808:E648816 E648844:E648852 E648880:E648888 E648916:E648924 E648952:E648960 E648988:E648996 E649024:E649032 E649060:E649068 E649096:E649104 E649132:E649140 E649168:E649176 E649204:E649212 E649240:E649248 E649276:E649284 E649312:E649320 E649348:E649356 E649384:E649392 E649420:E649428 E649456:E649464 E649492:E649500 E649528:E649536 E649564:E649572 E649600:E649608 E649636:E649644 E649672:E649680 E649708:E649716 E649744:E649752 E649780:E649788 E649816:E649824 E649852:E649860 E649888:E649896 E649924:E649932 E649960:E649968 E649996:E650004 E650032:E650040 E650068:E650076 E650104:E650112 E650140:E650148 E650176:E650184 E650212:E650220 E650248:E650256 E650284:E650292 E650320:E650328 E650356:E650364 E650392:E650400 E650428:E650436 E650464:E650472 E650500:E650508 E650536:E650544 E650572:E650580 E650608:E650616 E650644:E650652 E650680:E650688 E650716:E650724 E650752:E650760 E650788:E650796 E650824:E650832 E650860:E650868 E650896:E650904 E650932:E650940 E650968:E650976 E651004:E651012 E651040:E651048 E651076:E651084 E651112:E651120 E651148:E651156 E651184:E651192 E651220:E651228 E651256:E651264 E651292:E651300 E651328:E651336 E651364:E651372 E651400:E651408 E651436:E651444 E651472:E651480 E651508:E651516 E651544:E651552 E651580:E651588 E651616:E651624 E651652:E651660 E651688:E651696 E651724:E651732 E651760:E651768 E651796:E651804 E651832:E651840 E651868:E651876 E651904:E651912 E651940:E651948 E651976:E651984 E652012:E652020 E652048:E652056 E652084:E652092 E652120:E652128 E652156:E652164 E652192:E652200 E652228:E652236 E652264:E652272 E652300:E652308 E652336:E652344 E652372:E652380 E652408:E652416 E652444:E652452 E652480:E652488 E652516:E652524 E652552:E652560 E652588:E652596 E652624:E652632 E652660:E652668 E652696:E652704 E652732:E652740 E652768:E652776 E652804:E652812 E652840:E652848 E652876:E652884 E652912:E652920 E652948:E652956 E652984:E652992 E653020:E653028 E653056:E653064 E653092:E653100 E653128:E653136 E653164:E653172 E653200:E653208 E653236:E653244 E653272:E653280 E653308:E653316 E653344:E653352 E653380:E653388 E653416:E653424 E653452:E653460 E653488:E653496 E653524:E653532 E653560:E653568 E653596:E653604 E653632:E653640 E653668:E653676 E653704:E653712 E653740:E653748 E653776:E653784 E653812:E653820 E653848:E653856 E653884:E653892 E653920:E653928 E653956:E653964 E653992:E654000 E654028:E654036 E654064:E654072 E654100:E654108 E654136:E654144 E654172:E654180 E654208:E654216 E654244:E654252 E654280:E654288 E654316:E654324 E654352:E654360 E654388:E654396 E654424:E654432 E654460:E654468 E654496:E654504 E654532:E654540 E654568:E654576 E654604:E654612 E654640:E654648 E654676:E654684 E654712:E654720 E654748:E654756 E654784:E654792 E654820:E654828 E654856:E654864 E654892:E654900 E654928:E654936 E654964:E654972 E655000:E655008 E655036:E655044 E655072:E655080 E655108:E655116 E655144:E655152 E655180:E655188 E655216:E655224 E655252:E655260 E655288:E655296 E655324:E655332 E655360:E655368 E655396:E655404 E655432:E655440 E655468:E655476 E655504:E655512 E655540:E655548 E655576:E655584 E655612:E655620 E655648:E655656 E655684:E655692 E655720:E655728 E655756:E655764 E655792:E655800 E655828:E655836 E655864:E655872 E655900:E655908 E655936:E655944 E655972:E655980 E656008:E656016 E656044:E656052 E656080:E656088 E656116:E656124 E656152:E656160 E656188:E656196 E656224:E656232 E656260:E656268 E656296:E656304 E656332:E656340 E656368:E656376 E656404:E656412 E656440:E656448 E656476:E656484 E656512:E656520 E656548:E656556 E656584:E656592 E656620:E656628 E656656:E656664 E656692:E656700 E656728:E656736 E656764:E656772 E656800:E656808 E656836:E656844 E656872:E656880 E656908:E656916 E656944:E656952 E656980:E656988 E657016:E657024 E657052:E657060 E657088:E657096 E657124:E657132 E657160:E657168 E657196:E657204 E657232:E657240 E657268:E657276 E657304:E657312 E657340:E657348 E657376:E657384 E657412:E657420 E657448:E657456 E657484:E657492 E657520:E657528 E657556:E657564 E657592:E657600 E657628:E657636 E657664:E657672 E657700:E657708 E657736:E657744 E657772:E657780 E657808:E657816 E657844:E657852 E657880:E657888 E657916:E657924 E657952:E657960 E657988:E657996 E658024:E658032 E658060:E658068 E658096:E658104 E658132:E658140 E658168:E658176 E658204:E658212 E658240:E658248 E658276:E658284 E658312:E658320 E658348:E658356 E658384:E658392 E658420:E658428 E658456:E658464 E658492:E658500 E658528:E658536 E658564:E658572 E658600:E658608 E658636:E658644 E658672:E658680 E658708:E658716 E658744:E658752 E658780:E658788 E658816:E658824 E658852:E658860 E658888:E658896 E658924:E658932 E658960:E658968 E658996:E659004 E659032:E659040 E659068:E659076 E659104:E659112 E659140:E659148 E659176:E659184 E659212:E659220 E659248:E659256 E659284:E659292 E659320:E659328 E659356:E659364 E659392:E659400 E659428:E659436 E659464:E659472 E659500:E659508 E659536:E659544 E659572:E659580 E659608:E659616 E659644:E659652 E659680:E659688 E659716:E659724 E659752:E659760 E659788:E659796 E659824:E659832 E659860:E659868 E659896:E659904 E659932:E659940 E659968:E659976 E660004:E660012 E660040:E660048 E660076:E660084 E660112:E660120 E660148:E660156 E660184:E660192 E660220:E660228 E660256:E660264 E660292:E660300 E660328:E660336 E660364:E660372 E660400:E660408 E660436:E660444 E660472:E660480 E660508:E660516 E660544:E660552 E660580:E660588 E660616:E660624 E660652:E660660 E660688:E660696 E660724:E660732 E660760:E660768 E660796:E660804 E660832:E660840 E660868:E660876 E660904:E660912 E660940:E660948 E660976:E660984 E661012:E661020 E661048:E661056 E661084:E661092 E661120:E661128 E661156:E661164 E661192:E661200 E661228:E661236 E661264:E661272 E661300:E661308 E661336:E661344 E661372:E661380 E661408:E661416 E661444:E661452 E661480:E661488 E661516:E661524 E661552:E661560 E661588:E661596 E661624:E661632 E661660:E661668 E661696:E661704 E661732:E661740 E661768:E661776 E661804:E661812 E661840:E661848 E661876:E661884 E661912:E661920 E661948:E661956 E661984:E661992 E662020:E662028 E662056:E662064 E662092:E662100 E662128:E662136 E662164:E662172 E662200:E662208 E662236:E662244 E662272:E662280 E662308:E662316 E662344:E662352 E662380:E662388 E662416:E662424 E662452:E662460 E662488:E662496 E662524:E662532 E662560:E662568 E662596:E662604 E662632:E662640 E662668:E662676 E662704:E662712 E662740:E662748 E662776:E662784 E662812:E662820 E662848:E662856 E662884:E662892 E662920:E662928 E662956:E662964 E662992:E663000 E663028:E663036 E663064:E663072 E663100:E663108 E663136:E663144 E663172:E663180 E663208:E663216 E663244:E663252 E663280:E663288 E663316:E663324 E663352:E663360 E663388:E663396 E663424:E663432 E663460:E663468 E663496:E663504 E663532:E663540 E663568:E663576 E663604:E663612 E663640:E663648 E663676:E663684 E663712:E663720 E663748:E663756 E663784:E663792 E663820:E663828 E663856:E663864 E663892:E663900 E663928:E663936 E663964:E663972 E664000:E664008 E664036:E664044 E664072:E664080 E664108:E664116 E664144:E664152 E664180:E664188 E664216:E664224 E664252:E664260 E664288:E664296 E664324:E664332 E664360:E664368 E664396:E664404 E664432:E664440 E664468:E664476 E664504:E664512 E664540:E664548 E664576:E664584 E664612:E664620 E664648:E664656 E664684:E664692 E664720:E664728 E664756:E664764 E664792:E664800 E664828:E664836 E664864:E664872 E664900:E664908 E664936:E664944 E664972:E664980 E665008:E665016 E665044:E665052 E665080:E665088 E665116:E665124 E665152:E665160 E665188:E665196 E665224:E665232 E665260:E665268 E665296:E665304 E665332:E665340 E665368:E665376 E665404:E665412 E665440:E665448 E665476:E665484 E665512:E665520 E665548:E665556 E665584:E665592 E665620:E665628 E665656:E665664 E665692:E665700 E665728:E665736 E665764:E665772 E665800:E665808 E665836:E665844 E665872:E665880 E665908:E665916 E665944:E665952 E665980:E665988 E666016:E666024 E666052:E666060 E666088:E666096 E666124:E666132 E666160:E666168 E666196:E666204 E666232:E666240 E666268:E666276 E666304:E666312 E666340:E666348 E666376:E666384 E666412:E666420 E666448:E666456 E666484:E666492 E666520:E666528 E666556:E666564 E666592:E666600 E666628:E666636 E666664:E666672 E666700:E666708 E666736:E666744 E666772:E666780 E666808:E666816 E666844:E666852 E666880:E666888 E666916:E666924 E666952:E666960 E666988:E666996 E667024:E667032 E667060:E667068 E667096:E667104 E667132:E667140 E667168:E667176 E667204:E667212 E667240:E667248 E667276:E667284 E667312:E667320 E667348:E667356 E667384:E667392 E667420:E667428 E667456:E667464 E667492:E667500 E667528:E667536 E667564:E667572 E667600:E667608 E667636:E667644 E667672:E667680 E667708:E667716 E667744:E667752 E667780:E667788 E667816:E667824 E667852:E667860 E667888:E667896 E667924:E667932 E667960:E667968 E667996:E668004 E668032:E668040 E668068:E668076 E668104:E668112 E668140:E668148 E668176:E668184 E668212:E668220 E668248:E668256 E668284:E668292 E668320:E668328 E668356:E668364 E668392:E668400 E668428:E668436 E668464:E668472 E668500:E668508 E668536:E668544 E668572:E668580 E668608:E668616 E668644:E668652 E668680:E668688 E668716:E668724 E668752:E668760 E668788:E668796 E668824:E668832 E668860:E668868 E668896:E668904 E668932:E668940 E668968:E668976 E669004:E669012 E669040:E669048 E669076:E669084 E669112:E669120 E669148:E669156 E669184:E669192 E669220:E669228 E669256:E669264 E669292:E669300 E669328:E669336 E669364:E669372 E669400:E669408 E669436:E669444 E669472:E669480 E669508:E669516 E669544:E669552 E669580:E669588 E669616:E669624 E669652:E669660 E669688:E669696 E669724:E669732 E669760:E669768 E669796:E669804 E669832:E669840 E669868:E669876 E669904:E669912 E669940:E669948 E669976:E669984 E670012:E670020 E670048:E670056 E670084:E670092 E670120:E670128 E670156:E670164 E670192:E670200 E670228:E670236 E670264:E670272 E670300:E670308 E670336:E670344 E670372:E670380 E670408:E670416 E670444:E670452 E670480:E670488 E670516:E670524 E670552:E670560 E670588:E670596 E670624:E670632 E670660:E670668 E670696:E670704 E670732:E670740 E670768:E670776 E670804:E670812 E670840:E670848 E670876:E670884 E670912:E670920 E670948:E670956 E670984:E670992 E671020:E671028 E671056:E671064 E671092:E671100 E671128:E671136 E671164:E671172 E671200:E671208 E671236:E671244 E671272:E671280 E671308:E671316 E671344:E671352 E671380:E671388 E671416:E671424 E671452:E671460 E671488:E671496 E671524:E671532 E671560:E671568 E671596:E671604 E671632:E671640 E671668:E671676 E671704:E671712 E671740:E671748 E671776:E671784 E671812:E671820 E671848:E671856 E671884:E671892 E671920:E671928 E671956:E671964 E671992:E672000 E672028:E672036 E672064:E672072 E672100:E672108 E672136:E672144 E672172:E672180 E672208:E672216 E672244:E672252 E672280:E672288 E672316:E672324 E672352:E672360 E672388:E672396 E672424:E672432 E672460:E672468 E672496:E672504 E672532:E672540 E672568:E672576 E672604:E672612 E672640:E672648 E672676:E672684 E672712:E672720 E672748:E672756 E672784:E672792 E672820:E672828 E672856:E672864 E672892:E672900 E672928:E672936 E672964:E672972 E673000:E673008 E673036:E673044 E673072:E673080 E673108:E673116 E673144:E673152 E673180:E673188 E673216:E673224 E673252:E673260 E673288:E673296 E673324:E673332 E673360:E673368 E673396:E673404 E673432:E673440 E673468:E673476 E673504:E673512 E673540:E673548 E673576:E673584 E673612:E673620 E673648:E673656 E673684:E673692 E673720:E673728 E673756:E673764 E673792:E673800 E673828:E673836 E673864:E673872 E673900:E673908 E673936:E673944 E673972:E673980 E674008:E674016 E674044:E674052 E674080:E674088 E674116:E674124 E674152:E674160 E674188:E674196 E674224:E674232 E674260:E674268 E674296:E674304 E674332:E674340 E674368:E674376 E674404:E674412 E674440:E674448 E674476:E674484 E674512:E674520 E674548:E674556 E674584:E674592 E674620:E674628 E674656:E674664 E674692:E674700 E674728:E674736 E674764:E674772 E674800:E674808 E674836:E674844 E674872:E674880 E674908:E674916 E674944:E674952 E674980:E674988 E675016:E675024 E675052:E675060 E675088:E675096 E675124:E675132 E675160:E675168 E675196:E675204 E675232:E675240 E675268:E675276 E675304:E675312 E675340:E675348 E675376:E675384 E675412:E675420 E675448:E675456 E675484:E675492 E675520:E675528 E675556:E675564 E675592:E675600 E675628:E675636 E675664:E675672 E675700:E675708 E675736:E675744 E675772:E675780 E675808:E675816 E675844:E675852 E675880:E675888 E675916:E675924 E675952:E675960 E675988:E675996 E676024:E676032 E676060:E676068 E676096:E676104 E676132:E676140 E676168:E676176 E676204:E676212 E676240:E676248 E676276:E676284 E676312:E676320 E676348:E676356 E676384:E676392 E676420:E676428 E676456:E676464 E676492:E676500 E676528:E676536 E676564:E676572 E676600:E676608 E676636:E676644 E676672:E676680 E676708:E676716 E676744:E676752 E676780:E676788 E676816:E676824 E676852:E676860 E676888:E676896 E676924:E676932 E676960:E676968 E676996:E677004 E677032:E677040 E677068:E677076 E677104:E677112 E677140:E677148 E677176:E677184 E677212:E677220 E677248:E677256 E677284:E677292 E677320:E677328 E677356:E677364 E677392:E677400 E677428:E677436 E677464:E677472 E677500:E677508 E677536:E677544 E677572:E677580 E677608:E677616 E677644:E677652 E677680:E677688 E677716:E677724 E677752:E677760 E677788:E677796 E677824:E677832 E677860:E677868 E677896:E677904 E677932:E677940 E677968:E677976 E678004:E678012 E678040:E678048 E678076:E678084 E678112:E678120 E678148:E678156 E678184:E678192 E678220:E678228 E678256:E678264 E678292:E678300 E678328:E678336 E678364:E678372 E678400:E678408 E678436:E678444 E678472:E678480 E678508:E678516 E678544:E678552 E678580:E678588 E678616:E678624 E678652:E678660 E678688:E678696 E678724:E678732 E678760:E678768 E678796:E678804 E678832:E678840 E678868:E678876 E678904:E678912 E678940:E678948 E678976:E678984 E679012:E679020 E679048:E679056 E679084:E679092 E679120:E679128 E679156:E679164 E679192:E679200 E679228:E679236 E679264:E679272 E679300:E679308 E679336:E679344 E679372:E679380 E679408:E679416 E679444:E679452 E679480:E679488 E679516:E679524 E679552:E679560 E679588:E679596 E679624:E679632 E679660:E679668 E679696:E679704 E679732:E679740 E679768:E679776 E679804:E679812 E679840:E679848 E679876:E679884 E679912:E679920 E679948:E679956 E679984:E679992 E680020:E680028 E680056:E680064 E680092:E680100 E680128:E680136 E680164:E680172 E680200:E680208 E680236:E680244 E680272:E680280 E680308:E680316 E680344:E680352 E680380:E680388 E680416:E680424 E680452:E680460 E680488:E680496 E680524:E680532 E680560:E680568 E680596:E680604 E680632:E680640 E680668:E680676 E680704:E680712 E680740:E680748 E680776:E680784 E680812:E680820 E680848:E680856 E680884:E680892 E680920:E680928 E680956:E680964 E680992:E681000 E681028:E681036 E681064:E681072 E681100:E681108 E681136:E681144 E681172:E681180 E681208:E681216 E681244:E681252 E681280:E681288 E681316:E681324 E681352:E681360 E681388:E681396 E681424:E681432 E681460:E681468 E681496:E681504 E681532:E681540 E681568:E681576 E681604:E681612 E681640:E681648 E681676:E681684 E681712:E681720 E681748:E681756 E681784:E681792 E681820:E681828 E681856:E681864 E681892:E681900 E681928:E681936 E681964:E681972 E682000:E682008 E682036:E682044 E682072:E682080 E682108:E682116 E682144:E682152 E682180:E682188 E682216:E682224 E682252:E682260 E682288:E682296 E682324:E682332 E682360:E682368 E682396:E682404 E682432:E682440 E682468:E682476 E682504:E682512 E682540:E682548 E682576:E682584 E682612:E682620 E682648:E682656 E682684:E682692 E682720:E682728 E682756:E682764 E682792:E682800 E682828:E682836 E682864:E682872 E682900:E682908 E682936:E682944 E682972:E682980 E683008:E683016 E683044:E683052 E683080:E683088 E683116:E683124 E683152:E683160 E683188:E683196 E683224:E683232 E683260:E683268 E683296:E683304 E683332:E683340 E683368:E683376 E683404:E683412 E683440:E683448 E683476:E683484 E683512:E683520 E683548:E683556 E683584:E683592 E683620:E683628 E683656:E683664 E683692:E683700 E683728:E683736 E683764:E683772 E683800:E683808 E683836:E683844 E683872:E683880 E683908:E683916 E683944:E683952 E683980:E683988 E684016:E684024 E684052:E684060 E684088:E684096 E684124:E684132 E684160:E684168 E684196:E684204 E684232:E684240 E684268:E684276 E684304:E684312 E684340:E684348 E684376:E684384 E684412:E684420 E684448:E684456 E684484:E684492 E684520:E684528 E684556:E684564 E684592:E684600 E684628:E684636 E684664:E684672 E684700:E684708 E684736:E684744 E684772:E684780 E684808:E684816 E684844:E684852 E684880:E684888 E684916:E684924 E684952:E684960 E684988:E684996 E685024:E685032 E685060:E685068 E685096:E685104 E685132:E685140 E685168:E685176 E685204:E685212 E685240:E685248 E685276:E685284 E685312:E685320 E685348:E685356 E685384:E685392 E685420:E685428 E685456:E685464 E685492:E685500 E685528:E685536 E685564:E685572 E685600:E685608 E685636:E685644 E685672:E685680 E685708:E685716 E685744:E685752 E685780:E685788 E685816:E685824 E685852:E685860 E685888:E685896 E685924:E685932 E685960:E685968 E685996:E686004 E686032:E686040 E686068:E686076 E686104:E686112 E686140:E686148 E686176:E686184 E686212:E686220 E686248:E686256 E686284:E686292 E686320:E686328 E686356:E686364 E686392:E686400 E686428:E686436 E686464:E686472 E686500:E686508 E686536:E686544 E686572:E686580 E686608:E686616 E686644:E686652 E686680:E686688 E686716:E686724 E686752:E686760 E686788:E686796 E686824:E686832 E686860:E686868 E686896:E686904 E686932:E686940 E686968:E686976 E687004:E687012 E687040:E687048 E687076:E687084 E687112:E687120 E687148:E687156 E687184:E687192 E687220:E687228 E687256:E687264 E687292:E687300 E687328:E687336 E687364:E687372 E687400:E687408 E687436:E687444 E687472:E687480 E687508:E687516 E687544:E687552 E687580:E687588 E687616:E687624 E687652:E687660 E687688:E687696 E687724:E687732 E687760:E687768 E687796:E687804 E687832:E687840 E687868:E687876 E687904:E687912 E687940:E687948 E687976:E687984 E688012:E688020 E688048:E688056 E688084:E688092 E688120:E688128 E688156:E688164 E688192:E688200 E688228:E688236 E688264:E688272 E688300:E688308 E688336:E688344 E688372:E688380 E688408:E688416 E688444:E688452 E688480:E688488 E688516:E688524 E688552:E688560 E688588:E688596 E688624:E688632 E688660:E688668 E688696:E688704 E688732:E688740 E688768:E688776 E688804:E688812 E688840:E688848 E688876:E688884 E688912:E688920 E688948:E688956 E688984:E688992 E689020:E689028 E689056:E689064 E689092:E689100 E689128:E689136 E689164:E689172 E689200:E689208 E689236:E689244 E689272:E689280 E689308:E689316 E689344:E689352 E689380:E689388 E689416:E689424 E689452:E689460 E689488:E689496 E689524:E689532 E689560:E689568 E689596:E689604 E689632:E689640 E689668:E689676 E689704:E689712 E689740:E689748 E689776:E689784 E689812:E689820 E689848:E689856 E689884:E689892 E689920:E689928 E689956:E689964 E689992:E690000 E690028:E690036 E690064:E690072 E690100:E690108 E690136:E690144 E690172:E690180 E690208:E690216 E690244:E690252 E690280:E690288 E690316:E690324 E690352:E690360 E690388:E690396 E690424:E690432 E690460:E690468 E690496:E690504 E690532:E690540 E690568:E690576 E690604:E690612 E690640:E690648 E690676:E690684 E690712:E690720 E690748:E690756 E690784:E690792 E690820:E690828 E690856:E690864 E690892:E690900 E690928:E690936 E690964:E690972 E691000:E691008 E691036:E691044 E691072:E691080 E691108:E691116 E691144:E691152 E691180:E691188 E691216:E691224 E691252:E691260 E691288:E691296 E691324:E691332 E691360:E691368 E691396:E691404 E691432:E691440 E691468:E691476 E691504:E691512 E691540:E691548 E691576:E691584 E691612:E691620 E691648:E691656 E691684:E691692 E691720:E691728 E691756:E691764 E691792:E691800 E691828:E691836 E691864:E691872 E691900:E691908 E691936:E691944 E691972:E691980 E692008:E692016 E692044:E692052 E692080:E692088 E692116:E692124 E692152:E692160 E692188:E692196 E692224:E692232 E692260:E692268 E692296:E692304 E692332:E692340 E692368:E692376 E692404:E692412 E692440:E692448 E692476:E692484 E692512:E692520 E692548:E692556 E692584:E692592 E692620:E692628 E692656:E692664 E692692:E692700 E692728:E692736 E692764:E692772 E692800:E692808 E692836:E692844 E692872:E692880 E692908:E692916 E692944:E692952 E692980:E692988 E693016:E693024 E693052:E693060 E693088:E693096 E693124:E693132 E693160:E693168 E693196:E693204 E693232:E693240 E693268:E693276 E693304:E693312 E693340:E693348 E693376:E693384 E693412:E693420 E693448:E693456 E693484:E693492 E693520:E693528 E693556:E693564 E693592:E693600 E693628:E693636 E693664:E693672 E693700:E693708 E693736:E693744 E693772:E693780 E693808:E693816 E693844:E693852 E693880:E693888 E693916:E693924 E693952:E693960 E693988:E693996 E694024:E694032 E694060:E694068 E694096:E694104 E694132:E694140 E694168:E694176 E694204:E694212 E694240:E694248 E694276:E694284 E694312:E694320 E694348:E694356 E694384:E694392 E694420:E694428 E694456:E694464 E694492:E694500 E694528:E694536 E694564:E694572 E694600:E694608 E694636:E694644 E694672:E694680 E694708:E694716 E694744:E694752 E694780:E694788 E694816:E694824 E694852:E694860 E694888:E694896 E694924:E694932 E694960:E694968 E694996:E695004 E695032:E695040 E695068:E695076 E695104:E695112 E695140:E695148 E695176:E695184 E695212:E695220 E695248:E695256 E695284:E695292 E695320:E695328 E695356:E695364 E695392:E695400 E695428:E695436 E695464:E695472 E695500:E695508 E695536:E695544 E695572:E695580 E695608:E695616 E695644:E695652 E695680:E695688 E695716:E695724 E695752:E695760 E695788:E695796 E695824:E695832 E695860:E695868 E695896:E695904 E695932:E695940 E695968:E695976 E696004:E696012 E696040:E696048 E696076:E696084 E696112:E696120 E696148:E696156 E696184:E696192 E696220:E696228 E696256:E696264 E696292:E696300 E696328:E696336 E696364:E696372 E696400:E696408 E696436:E696444 E696472:E696480 E696508:E696516 E696544:E696552 E696580:E696588 E696616:E696624 E696652:E696660 E696688:E696696 E696724:E696732 E696760:E696768 E696796:E696804 E696832:E696840 E696868:E696876 E696904:E696912 E696940:E696948 E696976:E696984 E697012:E697020 E697048:E697056 E697084:E697092 E697120:E697128 E697156:E697164 E697192:E697200 E697228:E697236 E697264:E697272 E697300:E697308 E697336:E697344 E697372:E697380 E697408:E697416 E697444:E697452 E697480:E697488 E697516:E697524 E697552:E697560 E697588:E697596 E697624:E697632 E697660:E697668 E697696:E697704 E697732:E697740 E697768:E697776 E697804:E697812 E697840:E697848 E697876:E697884 E697912:E697920 E697948:E697956 E697984:E697992 E698020:E698028 E698056:E698064 E698092:E698100 E698128:E698136 E698164:E698172 E698200:E698208 E698236:E698244 E698272:E698280 E698308:E698316 E698344:E698352 E698380:E698388 E698416:E698424 E698452:E698460 E698488:E698496 E698524:E698532 E698560:E698568 E698596:E698604 E698632:E698640 E698668:E698676 E698704:E698712 E698740:E698748 E698776:E698784 E698812:E698820 E698848:E698856 E698884:E698892 E698920:E698928 E698956:E698964 E698992:E699000 E699028:E699036 E699064:E699072 E699100:E699108 E699136:E699144 E699172:E699180 E699208:E699216 E699244:E699252 E699280:E699288 E699316:E699324 E699352:E699360 E699388:E699396 E699424:E699432 E699460:E699468 E699496:E699504 E699532:E699540 E699568:E699576 E699604:E699612 E699640:E699648 E699676:E699684 E699712:E699720 E699748:E699756 E699784:E699792 E699820:E699828 E699856:E699864 E699892:E699900 E699928:E699936 E699964:E699972 E700000:E700008 E700036:E700044 E700072:E700080 E700108:E700116 E700144:E700152 E700180:E700188 E700216:E700224 E700252:E700260 E700288:E700296 E700324:E700332 E700360:E700368 E700396:E700404 E700432:E700440 E700468:E700476 E700504:E700512 E700540:E700548 E700576:E700584 E700612:E700620 E700648:E700656 E700684:E700692 E700720:E700728 E700756:E700764 E700792:E700800 E700828:E700836 E700864:E700872 E700900:E700908 E700936:E700944 E700972:E700980 E701008:E701016 E701044:E701052 E701080:E701088 E701116:E701124 E701152:E701160 E701188:E701196 E701224:E701232 E701260:E701268 E701296:E701304 E701332:E701340 E701368:E701376 E701404:E701412 E701440:E701448 E701476:E701484 E701512:E701520 E701548:E701556 E701584:E701592 E701620:E701628 E701656:E701664 E701692:E701700 E701728:E701736 E701764:E701772 E701800:E701808 E701836:E701844 E701872:E701880 E701908:E701916 E701944:E701952 E701980:E701988 E702016:E702024 E702052:E702060 E702088:E702096 E702124:E702132 E702160:E702168 E702196:E702204 E702232:E702240 E702268:E702276 E702304:E702312 E702340:E702348 E702376:E702384 E702412:E702420 E702448:E702456 E702484:E702492 E702520:E702528 E702556:E702564 E702592:E702600 E702628:E702636 E702664:E702672 E702700:E702708 E702736:E702744 E702772:E702780 E702808:E702816 E702844:E702852 E702880:E702888 E702916:E702924 E702952:E702960 E702988:E702996 E703024:E703032 E703060:E703068 E703096:E703104 E703132:E703140 E703168:E703176 E703204:E703212 E703240:E703248 E703276:E703284 E703312:E703320 E703348:E703356 E703384:E703392 E703420:E703428 E703456:E703464 E703492:E703500 E703528:E703536 E703564:E703572 E703600:E703608 E703636:E703644 E703672:E703680 E703708:E703716 E703744:E703752 E703780:E703788 E703816:E703824 E703852:E703860 E703888:E703896 E703924:E703932 E703960:E703968 E703996:E704004 E704032:E704040 E704068:E704076 E704104:E704112 E704140:E704148 E704176:E704184 E704212:E704220 E704248:E704256 E704284:E704292 E704320:E704328 E704356:E704364 E704392:E704400 E704428:E704436 E704464:E704472 E704500:E704508 E704536:E704544 E704572:E704580 E704608:E704616 E704644:E704652 E704680:E704688 E704716:E704724 E704752:E704760 E704788:E704796 E704824:E704832 E704860:E704868 E704896:E704904 E704932:E704940 E704968:E704976 E705004:E705012 E705040:E705048 E705076:E705084 E705112:E705120 E705148:E705156 E705184:E705192 E705220:E705228 E705256:E705264 E705292:E705300 E705328:E705336 E705364:E705372 E705400:E705408 E705436:E705444 E705472:E705480 E705508:E705516 E705544:E705552 E705580:E705588 E705616:E705624 E705652:E705660 E705688:E705696 E705724:E705732 E705760:E705768 E705796:E705804 E705832:E705840 E705868:E705876 E705904:E705912 E705940:E705948 E705976:E705984 E706012:E706020 E706048:E706056 E706084:E706092 E706120:E706128 E706156:E706164 E706192:E706200 E706228:E706236 E706264:E706272 E706300:E706308 E706336:E706344 E706372:E706380 E706408:E706416 E706444:E706452 E706480:E706488 E706516:E706524 E706552:E706560 E706588:E706596 E706624:E706632 E706660:E706668 E706696:E706704 E706732:E706740 E706768:E706776 E706804:E706812 E706840:E706848 E706876:E706884 E706912:E706920 E706948:E706956 E706984:E706992 E707020:E707028 E707056:E707064 E707092:E707100 E707128:E707136 E707164:E707172 E707200:E707208 E707236:E707244 E707272:E707280 E707308:E707316 E707344:E707352 E707380:E707388 E707416:E707424 E707452:E707460 E707488:E707496 E707524:E707532 E707560:E707568 E707596:E707604 E707632:E707640 E707668:E707676 E707704:E707712 E707740:E707748 E707776:E707784 E707812:E707820 E707848:E707856 E707884:E707892 E707920:E707928 E707956:E707964 E707992:E708000 E708028:E708036 E708064:E708072 E708100:E708108 E708136:E708144 E708172:E708180 E708208:E708216 E708244:E708252 E708280:E708288 E708316:E708324 E708352:E708360 E708388:E708396 E708424:E708432 E708460:E708468 E708496:E708504 E708532:E708540 E708568:E708576 E708604:E708612 E708640:E708648 E708676:E708684 E708712:E708720 E708748:E708756 E708784:E708792 E708820:E708828 E708856:E708864 E708892:E708900 E708928:E708936 E708964:E708972 E709000:E709008 E709036:E709044 E709072:E709080 E709108:E709116 E709144:E709152 E709180:E709188 E709216:E709224 E709252:E709260 E709288:E709296 E709324:E709332 E709360:E709368 E709396:E709404 E709432:E709440 E709468:E709476 E709504:E709512 E709540:E709548 E709576:E709584 E709612:E709620 E709648:E709656 E709684:E709692 E709720:E709728 E709756:E709764 E709792:E709800 E709828:E709836 E709864:E709872 E709900:E709908 E709936:E709944 E709972:E709980 E710008:E710016 E710044:E710052 E710080:E710088 E710116:E710124 E710152:E710160 E710188:E710196 E710224:E710232 E710260:E710268 E710296:E710304 E710332:E710340 E710368:E710376 E710404:E710412 E710440:E710448 E710476:E710484 E710512:E710520 E710548:E710556 E710584:E710592 E710620:E710628 E710656:E710664 E710692:E710700 E710728:E710736 E710764:E710772 E710800:E710808 E710836:E710844 E710872:E710880 E710908:E710916 E710944:E710952 E710980:E710988 E711016:E711024 E711052:E711060 E711088:E711096 E711124:E711132 E711160:E711168 E711196:E711204 E711232:E711240 E711268:E711276 E711304:E711312 E711340:E711348 E711376:E711384 E711412:E711420 E711448:E711456 E711484:E711492 E711520:E711528 E711556:E711564 E711592:E711600 E711628:E711636 E711664:E711672 E711700:E711708 E711736:E711744 E711772:E711780 E711808:E711816 E711844:E711852 E711880:E711888 E711916:E711924 E711952:E711960 E711988:E711996 E712024:E712032 E712060:E712068 E712096:E712104 E712132:E712140 E712168:E712176 E712204:E712212 E712240:E712248 E712276:E712284 E712312:E712320 E712348:E712356 E712384:E712392 E712420:E712428 E712456:E712464 E712492:E712500 E712528:E712536 E712564:E712572 E712600:E712608 E712636:E712644 E712672:E712680 E712708:E712716 E712744:E712752 E712780:E712788 E712816:E712824 E712852:E712860 E712888:E712896 E712924:E712932 E712960:E712968 E712996:E713004 E713032:E713040 E713068:E713076 E713104:E713112 E713140:E713148 E713176:E713184 E713212:E713220 E713248:E713256 E713284:E713292 E713320:E713328 E713356:E713364 E713392:E713400 E713428:E713436 E713464:E713472 E713500:E713508 E713536:E713544 E713572:E713580 E713608:E713616 E713644:E713652 E713680:E713688 E713716:E713724 E713752:E713760 E713788:E713796 E713824:E713832 E713860:E713868 E713896:E713904 E713932:E713940 E713968:E713976 E714004:E714012 E714040:E714048 E714076:E714084 E714112:E714120 E714148:E714156 E714184:E714192 E714220:E714228 E714256:E714264 E714292:E714300 E714328:E714336 E714364:E714372 E714400:E714408 E714436:E714444 E714472:E714480 E714508:E714516 E714544:E714552 E714580:E714588 E714616:E714624 E714652:E714660 E714688:E714696 E714724:E714732 E714760:E714768 E714796:E714804 E714832:E714840 E714868:E714876 E714904:E714912 E714940:E714948 E714976:E714984 E715012:E715020 E715048:E715056 E715084:E715092 E715120:E715128 E715156:E715164 E715192:E715200 E715228:E715236 E715264:E715272 E715300:E715308 E715336:E715344 E715372:E715380 E715408:E715416 E715444:E715452 E715480:E715488 E715516:E715524 E715552:E715560 E715588:E715596 E715624:E715632 E715660:E715668 E715696:E715704 E715732:E715740 E715768:E715776 E715804:E715812 E715840:E715848 E715876:E715884 E715912:E715920 E715948:E715956 E715984:E715992 E716020:E716028 E716056:E716064 E716092:E716100 E716128:E716136 E716164:E716172 E716200:E716208 E716236:E716244 E716272:E716280 E716308:E716316 E716344:E716352 E716380:E716388 E716416:E716424 E716452:E716460 E716488:E716496 E716524:E716532 E716560:E716568 E716596:E716604 E716632:E716640 E716668:E716676 E716704:E716712 E716740:E716748 E716776:E716784 E716812:E716820 E716848:E716856 E716884:E716892 E716920:E716928 E716956:E716964 E716992:E717000 E717028:E717036 E717064:E717072 E717100:E717108 E717136:E717144 E717172:E717180 E717208:E717216 E717244:E717252 E717280:E717288 E717316:E717324 E717352:E717360 E717388:E717396 E717424:E717432 E717460:E717468 E717496:E717504 E717532:E717540 E717568:E717576 E717604:E717612 E717640:E717648 E717676:E717684 E717712:E717720 E717748:E717756 E717784:E717792 E717820:E717828 E717856:E717864 E717892:E717900 E717928:E717936 E717964:E717972 E718000:E718008 E718036:E718044 E718072:E718080 E718108:E718116 E718144:E718152 E718180:E718188 E718216:E718224 E718252:E718260 E718288:E718296 E718324:E718332 E718360:E718368 E718396:E718404 E718432:E718440 E718468:E718476 E718504:E718512 E718540:E718548 E718576:E718584 E718612:E718620 E718648:E718656 E718684:E718692 E718720:E718728 E718756:E718764 E718792:E718800 E718828:E718836 E718864:E718872 E718900:E718908 E718936:E718944 E718972:E718980 E719008:E719016 E719044:E719052 E719080:E719088 E719116:E719124 E719152:E719160 E719188:E719196 E719224:E719232 E719260:E719268 E719296:E719304 E719332:E719340 E719368:E719376 E719404:E719412 E719440:E719448 E719476:E719484 E719512:E719520 E719548:E719556 E719584:E719592 E719620:E719628 E719656:E719664 E719692:E719700 E719728:E719736 E719764:E719772 E719800:E719808 E719836:E719844 E719872:E719880 E719908:E719916 E719944:E719952 E719980:E719988 E720016:E720024 E720052:E720060 E720088:E720096 E720124:E720132 E720160:E720168 E720196:E720204 E720232:E720240 E720268:E720276 E720304:E720312 E720340:E720348 E720376:E720384 E720412:E720420 E720448:E720456 E720484:E720492 E720520:E720528 E720556:E720564 E720592:E720600 E720628:E720636 E720664:E720672 E720700:E720708 E720736:E720744 E720772:E720780 E720808:E720816 E720844:E720852 E720880:E720888 E720916:E720924 E720952:E720960 E720988:E720996 E721024:E721032 E721060:E721068 E721096:E721104 E721132:E721140 E721168:E721176 E721204:E721212 E721240:E721248 E721276:E721284 E721312:E721320 E721348:E721356 E721384:E721392 E721420:E721428 E721456:E721464 E721492:E721500 E721528:E721536 E721564:E721572 E721600:E721608 E721636:E721644 E721672:E721680 E721708:E721716 E721744:E721752 E721780:E721788 E721816:E721824 E721852:E721860 E721888:E721896 E721924:E721932 E721960:E721968 E721996:E722004 E722032:E722040 E722068:E722076 E722104:E722112 E722140:E722148 E722176:E722184 E722212:E722220 E722248:E722256 E722284:E722292 E722320:E722328 E722356:E722364 E722392:E722400 E722428:E722436 E722464:E722472 E722500:E722508 E722536:E722544 E722572:E722580 E722608:E722616 E722644:E722652 E722680:E722688 E722716:E722724 E722752:E722760 E722788:E722796 E722824:E722832 E722860:E722868 E722896:E722904 E722932:E722940 E722968:E722976 E723004:E723012 E723040:E723048 E723076:E723084 E723112:E723120 E723148:E723156 E723184:E723192 E723220:E723228 E723256:E723264 E723292:E723300 E723328:E723336 E723364:E723372 E723400:E723408 E723436:E723444 E723472:E723480 E723508:E723516 E723544:E723552 E723580:E723588 E723616:E723624 E723652:E723660 E723688:E723696 E723724:E723732 E723760:E723768 E723796:E723804 E723832:E723840 E723868:E723876 E723904:E723912 E723940:E723948 E723976:E723984 E724012:E724020 E724048:E724056 E724084:E724092 E724120:E724128 E724156:E724164 E724192:E724200 E724228:E724236 E724264:E724272 E724300:E724308 E724336:E724344 E724372:E724380 E724408:E724416 E724444:E724452 E724480:E724488 E724516:E724524 E724552:E724560 E724588:E724596 E724624:E724632 E724660:E724668 E724696:E724704 E724732:E724740 E724768:E724776 E724804:E724812 E724840:E724848 E724876:E724884 E724912:E724920 E724948:E724956 E724984:E724992 E725020:E725028 E725056:E725064 E725092:E725100 E725128:E725136 E725164:E725172 E725200:E725208 E725236:E725244 E725272:E725280 E725308:E725316 E725344:E725352 E725380:E725388 E725416:E725424 E725452:E725460 E725488:E725496 E725524:E725532 E725560:E725568 E725596:E725604 E725632:E725640 E725668:E725676 E725704:E725712 E725740:E725748 E725776:E725784 E725812:E725820 E725848:E725856 E725884:E725892 E725920:E725928 E725956:E725964 E725992:E726000 E726028:E726036 E726064:E726072 E726100:E726108 E726136:E726144 E726172:E726180 E726208:E726216 E726244:E726252 E726280:E726288 E726316:E726324 E726352:E726360 E726388:E726396 E726424:E726432 E726460:E726468 E726496:E726504 E726532:E726540 E726568:E726576 E726604:E726612 E726640:E726648 E726676:E726684 E726712:E726720 E726748:E726756 E726784:E726792 E726820:E726828 E726856:E726864 E726892:E726900 E726928:E726936 E726964:E726972 E727000:E727008 E727036:E727044 E727072:E727080 E727108:E727116 E727144:E727152 E727180:E727188 E727216:E727224 E727252:E727260 E727288:E727296 E727324:E727332 E727360:E727368 E727396:E727404 E727432:E727440 E727468:E727476 E727504:E727512 E727540:E727548 E727576:E727584 E727612:E727620 E727648:E727656 E727684:E727692 E727720:E727728 E727756:E727764 E727792:E727800 E727828:E727836 E727864:E727872 E727900:E727908 E727936:E727944 E727972:E727980 E728008:E728016 E728044:E728052 E728080:E728088 E728116:E728124 E728152:E728160 E728188:E728196 E728224:E728232 E728260:E728268 E728296:E728304 E728332:E728340 E728368:E728376 E728404:E728412 E728440:E728448 E728476:E728484 E728512:E728520 E728548:E728556 E728584:E728592 E728620:E728628 E728656:E728664 E728692:E728700 E728728:E728736 E728764:E728772 E728800:E728808 E728836:E728844 E728872:E728880 E728908:E728916 E728944:E728952 E728980:E728988 E729016:E729024 E729052:E729060 E729088:E729096 E729124:E729132 E729160:E729168 E729196:E729204 E729232:E729240 E729268:E729276 E729304:E729312 E729340:E729348 E729376:E729384 E729412:E729420 E729448:E729456 E729484:E729492 E729520:E729528 E729556:E729564 E729592:E729600 E729628:E729636 E729664:E729672 E729700:E729708 E729736:E729744 E729772:E729780 E729808:E729816 E729844:E729852 E729880:E729888 E729916:E729924 E729952:E729960 E729988:E729996 E730024:E730032 E730060:E730068 E730096:E730104 E730132:E730140 E730168:E730176 E730204:E730212 E730240:E730248 E730276:E730284 E730312:E730320 E730348:E730356 E730384:E730392 E730420:E730428 E730456:E730464 E730492:E730500 E730528:E730536 E730564:E730572 E730600:E730608 E730636:E730644 E730672:E730680 E730708:E730716 E730744:E730752 E730780:E730788 E730816:E730824 E730852:E730860 E730888:E730896 E730924:E730932 E730960:E730968 E730996:E731004 E731032:E731040 E731068:E731076 E731104:E731112 E731140:E731148 E731176:E731184 E731212:E731220 E731248:E731256 E731284:E731292 E731320:E731328 E731356:E731364 E731392:E731400 E731428:E731436 E731464:E731472 E731500:E731508 E731536:E731544 E731572:E731580 E731608:E731616 E731644:E731652 E731680:E731688 E731716:E731724 E731752:E731760 E731788:E731796 E731824:E731832 E731860:E731868 E731896:E731904 E731932:E731940 E731968:E731976 E732004:E732012 E732040:E732048 E732076:E732084 E732112:E732120 E732148:E732156 E732184:E732192 E732220:E732228 E732256:E732264 E732292:E732300 E732328:E732336 E732364:E732372 E732400:E732408 E732436:E732444 E732472:E732480 E732508:E732516 E732544:E732552 E732580:E732588 E732616:E732624 E732652:E732660 E732688:E732696 E732724:E732732 E732760:E732768 E732796:E732804 E732832:E732840 E732868:E732876 E732904:E732912 E732940:E732948 E732976:E732984 E733012:E733020 E733048:E733056 E733084:E733092 E733120:E733128 E733156:E733164 E733192:E733200 E733228:E733236 E733264:E733272 E733300:E733308 E733336:E733344 E733372:E733380 E733408:E733416 E733444:E733452 E733480:E733488 E733516:E733524 E733552:E733560 E733588:E733596 E733624:E733632 E733660:E733668 E733696:E733704 E733732:E733740 E733768:E733776 E733804:E733812 E733840:E733848 E733876:E733884 E733912:E733920 E733948:E733956 E733984:E733992 E734020:E734028 E734056:E734064 E734092:E734100 E734128:E734136 E734164:E734172 E734200:E734208 E734236:E734244 E734272:E734280 E734308:E734316 E734344:E734352 E734380:E734388 E734416:E734424 E734452:E734460 E734488:E734496 E734524:E734532 E734560:E734568 E734596:E734604 E734632:E734640 E734668:E734676 E734704:E734712 E734740:E734748 E734776:E734784 E734812:E734820 E734848:E734856 E734884:E734892 E734920:E734928 E734956:E734964 E734992:E735000 E735028:E735036 E735064:E735072 E735100:E735108 E735136:E735144 E735172:E735180 E735208:E735216 E735244:E735252 E735280:E735288 E735316:E735324 E735352:E735360 E735388:E735396 E735424:E735432 E735460:E735468 E735496:E735504 E735532:E735540 E735568:E735576 E735604:E735612 E735640:E735648 E735676:E735684 E735712:E735720 E735748:E735756 E735784:E735792 E735820:E735828 E735856:E735864 E735892:E735900 E735928:E735936 E735964:E735972 E736000:E736008 E736036:E736044 E736072:E736080 E736108:E736116 E736144:E736152 E736180:E736188 E736216:E736224 E736252:E736260 E736288:E736296 E736324:E736332 E736360:E736368 E736396:E736404 E736432:E736440 E736468:E736476 E736504:E736512 E736540:E736548 E736576:E736584 E736612:E736620 E736648:E736656 E736684:E736692 E736720:E736728 E736756:E736764 E736792:E736800 E736828:E736836 E736864:E736872 E736900:E736908 E736936:E736944 E736972:E736980 E737008:E737016 E737044:E737052 E737080:E737088 E737116:E737124 E737152:E737160 E737188:E737196 E737224:E737232 E737260:E737268 E737296:E737304 E737332:E737340 E737368:E737376 E737404:E737412 E737440:E737448 E737476:E737484 E737512:E737520 E737548:E737556 E737584:E737592 E737620:E737628 E737656:E737664 E737692:E737700 E737728:E737736 E737764:E737772 E737800:E737808 E737836:E737844 E737872:E737880 E737908:E737916 E737944:E737952 E737980:E737988 E738016:E738024 E738052:E738060 E738088:E738096 E738124:E738132 E738160:E738168 E738196:E738204 E738232:E738240 E738268:E738276 E738304:E738312 E738340:E738348 E738376:E738384 E738412:E738420 E738448:E738456 E738484:E738492 E738520:E738528 E738556:E738564 E738592:E738600 E738628:E738636 E738664:E738672 E738700:E738708 E738736:E738744 E738772:E738780 E738808:E738816 E738844:E738852 E738880:E738888 E738916:E738924 E738952:E738960 E738988:E738996 E739024:E739032 E739060:E739068 E739096:E739104 E739132:E739140 E739168:E739176 E739204:E739212 E739240:E739248 E739276:E739284 E739312:E739320 E739348:E739356 E739384:E739392 E739420:E739428 E739456:E739464 E739492:E739500 E739528:E739536 E739564:E739572 E739600:E739608 E739636:E739644 E739672:E739680 E739708:E739716 E739744:E739752 E739780:E739788 E739816:E739824 E739852:E739860 E739888:E739896 E739924:E739932 E739960:E739968 E739996:E740004 E740032:E740040 E740068:E740076 E740104:E740112 E740140:E740148 E740176:E740184 E740212:E740220 E740248:E740256 E740284:E740292 E740320:E740328 E740356:E740364 E740392:E740400 E740428:E740436 E740464:E740472 E740500:E740508 E740536:E740544 E740572:E740580 E740608:E740616 E740644:E740652 E740680:E740688 E740716:E740724 E740752:E740760 E740788:E740796 E740824:E740832 E740860:E740868 E740896:E740904 E740932:E740940 E740968:E740976 E741004:E741012 E741040:E741048 E741076:E741084 E741112:E741120 E741148:E741156 E741184:E741192 E741220:E741228 E741256:E741264 E741292:E741300 E741328:E741336 E741364:E741372 E741400:E741408 E741436:E741444 E741472:E741480 E741508:E741516 E741544:E741552 E741580:E741588 E741616:E741624 E741652:E741660 E741688:E741696 E741724:E741732 E741760:E741768 E741796:E741804 E741832:E741840 E741868:E741876 E741904:E741912 E741940:E741948 E741976:E741984 E742012:E742020 E742048:E742056 E742084:E742092 E742120:E742128 E742156:E742164 E742192:E742200 E742228:E742236 E742264:E742272 E742300:E742308 E742336:E742344 E742372:E742380 E742408:E742416 E742444:E742452 E742480:E742488 E742516:E742524 E742552:E742560 E742588:E742596 E742624:E742632 E742660:E742668 E742696:E742704 E742732:E742740 E742768:E742776 E742804:E742812 E742840:E742848 E742876:E742884 E742912:E742920 E742948:E742956 E742984:E742992 E743020:E743028 E743056:E743064 E743092:E743100 E743128:E743136 E743164:E743172 E743200:E743208 E743236:E743244 E743272:E743280 E743308:E743316 E743344:E743352 E743380:E743388 E743416:E743424 E743452:E743460 E743488:E743496 E743524:E743532 E743560:E743568 E743596:E743604 E743632:E743640 E743668:E743676 E743704:E743712 E743740:E743748 E743776:E743784 E743812:E743820 E743848:E743856 E743884:E743892 E743920:E743928 E743956:E743964 E743992:E744000 E744028:E744036 E744064:E744072 E744100:E744108 E744136:E744144 E744172:E744180 E744208:E744216 E744244:E744252 E744280:E744288 E744316:E744324 E744352:E744360 E744388:E744396 E744424:E744432 E744460:E744468 E744496:E744504 E744532:E744540 E744568:E744576 E744604:E744612 E744640:E744648 E744676:E744684 E744712:E744720 E744748:E744756 E744784:E744792 E744820:E744828 E744856:E744864 E744892:E744900 E744928:E744936 E744964:E744972 E745000:E745008 E745036:E745044 E745072:E745080 E745108:E745116 E745144:E745152 E745180:E745188 E745216:E745224 E745252:E745260 E745288:E745296 E745324:E745332 E745360:E745368 E745396:E745404 E745432:E745440 E745468:E745476 E745504:E745512 E745540:E745548 E745576:E745584 E745612:E745620 E745648:E745656 E745684:E745692 E745720:E745728 E745756:E745764 E745792:E745800 E745828:E745836 E745864:E745872 E745900:E745908 E745936:E745944 E745972:E745980 E746008:E746016 E746044:E746052 E746080:E746088 E746116:E746124 E746152:E746160 E746188:E746196 E746224:E746232 E746260:E746268 E746296:E746304 E746332:E746340 E746368:E746376 E746404:E746412 E746440:E746448 E746476:E746484 E746512:E746520 E746548:E746556 E746584:E746592 E746620:E746628 E746656:E746664 E746692:E746700 E746728:E746736 E746764:E746772 E746800:E746808 E746836:E746844 E746872:E746880 E746908:E746916 E746944:E746952 E746980:E746988 E747016:E747024 E747052:E747060 E747088:E747096 E747124:E747132 E747160:E747168 E747196:E747204 E747232:E747240 E747268:E747276 E747304:E747312 E747340:E747348 E747376:E747384 E747412:E747420 E747448:E747456 E747484:E747492 E747520:E747528 E747556:E747564 E747592:E747600 E747628:E747636 E747664:E747672 E747700:E747708 E747736:E747744 E747772:E747780 E747808:E747816 E747844:E747852 E747880:E747888 E747916:E747924 E747952:E747960 E747988:E747996 E748024:E748032 E748060:E748068 E748096:E748104 E748132:E748140 E748168:E748176 E748204:E748212 E748240:E748248 E748276:E748284 E748312:E748320 E748348:E748356 E748384:E748392 E748420:E748428 E748456:E748464 E748492:E748500 E748528:E748536 E748564:E748572 E748600:E748608 E748636:E748644 E748672:E748680 E748708:E748716 E748744:E748752 E748780:E748788 E748816:E748824 E748852:E748860 E748888:E748896 E748924:E748932 E748960:E748968 E748996:E749004 E749032:E749040 E749068:E749076 E749104:E749112 E749140:E749148 E749176:E749184 E749212:E749220 E749248:E749256 E749284:E749292 E749320:E749328 E749356:E749364 E749392:E749400 E749428:E749436 E749464:E749472 E749500:E749508 E749536:E749544 E749572:E749580 E749608:E749616 E749644:E749652 E749680:E749688 E749716:E749724 E749752:E749760 E749788:E749796 E749824:E749832 E749860:E749868 E749896:E749904 E749932:E749940 E749968:E749976 E750004:E750012 E750040:E750048 E750076:E750084 E750112:E750120 E750148:E750156 E750184:E750192 E750220:E750228 E750256:E750264 E750292:E750300 E750328:E750336 E750364:E750372 E750400:E750408 E750436:E750444 E750472:E750480 E750508:E750516 E750544:E750552 E750580:E750588 E750616:E750624 E750652:E750660 E750688:E750696 E750724:E750732 E750760:E750768 E750796:E750804 E750832:E750840 E750868:E750876 E750904:E750912 E750940:E750948 E750976:E750984 E751012:E751020 E751048:E751056 E751084:E751092 E751120:E751128 E751156:E751164 E751192:E751200 E751228:E751236 E751264:E751272 E751300:E751308 E751336:E751344 E751372:E751380 E751408:E751416 E751444:E751452 E751480:E751488 E751516:E751524 E751552:E751560 E751588:E751596 E751624:E751632 E751660:E751668 E751696:E751704 E751732:E751740 E751768:E751776 E751804:E751812 E751840:E751848 E751876:E751884 E751912:E751920 E751948:E751956 E751984:E751992 E752020:E752028 E752056:E752064 E752092:E752100 E752128:E752136 E752164:E752172 E752200:E752208 E752236:E752244 E752272:E752280 E752308:E752316 E752344:E752352 E752380:E752388 E752416:E752424 E752452:E752460 E752488:E752496 E752524:E752532 E752560:E752568 E752596:E752604 E752632:E752640 E752668:E752676 E752704:E752712 E752740:E752748 E752776:E752784 E752812:E752820 E752848:E752856 E752884:E752892 E752920:E752928 E752956:E752964 E752992:E753000 E753028:E753036 E753064:E753072 E753100:E753108 E753136:E753144 E753172:E753180 E753208:E753216 E753244:E753252 E753280:E753288 E753316:E753324 E753352:E753360 E753388:E753396 E753424:E753432 E753460:E753468 E753496:E753504 E753532:E753540 E753568:E753576 E753604:E753612 E753640:E753648 E753676:E753684 E753712:E753720 E753748:E753756 E753784:E753792 E753820:E753828 E753856:E753864 E753892:E753900 E753928:E753936 E753964:E753972 E754000:E754008 E754036:E754044 E754072:E754080 E754108:E754116 E754144:E754152 E754180:E754188 E754216:E754224 E754252:E754260 E754288:E754296 E754324:E754332 E754360:E754368 E754396:E754404 E754432:E754440 E754468:E754476 E754504:E754512 E754540:E754548 E754576:E754584 E754612:E754620 E754648:E754656 E754684:E754692 E754720:E754728 E754756:E754764 E754792:E754800 E754828:E754836 E754864:E754872 E754900:E754908 E754936:E754944 E754972:E754980 E755008:E755016 E755044:E755052 E755080:E755088 E755116:E755124 E755152:E755160 E755188:E755196 E755224:E755232 E755260:E755268 E755296:E755304 E755332:E755340 E755368:E755376 E755404:E755412 E755440:E755448 E755476:E755484 E755512:E755520 E755548:E755556 E755584:E755592 E755620:E755628 E755656:E755664 E755692:E755700 E755728:E755736 E755764:E755772 E755800:E755808 E755836:E755844 E755872:E755880 E755908:E755916 E755944:E755952 E755980:E755988 E756016:E756024 E756052:E756060 E756088:E756096 E756124:E756132 E756160:E756168 E756196:E756204 E756232:E756240 E756268:E756276 E756304:E756312 E756340:E756348 E756376:E756384 E756412:E756420 E756448:E756456 E756484:E756492 E756520:E756528 E756556:E756564 E756592:E756600 E756628:E756636 E756664:E756672 E756700:E756708 E756736:E756744 E756772:E756780 E756808:E756816 E756844:E756852 E756880:E756888 E756916:E756924 E756952:E756960 E756988:E756996 E757024:E757032 E757060:E757068 E757096:E757104 E757132:E757140 E757168:E757176 E757204:E757212 E757240:E757248 E757276:E757284 E757312:E757320 E757348:E757356 E757384:E757392 E757420:E757428 E757456:E757464 E757492:E757500 E757528:E757536 E757564:E757572 E757600:E757608 E757636:E757644 E757672:E757680 E757708:E757716 E757744:E757752 E757780:E757788 E757816:E757824 E757852:E757860 E757888:E757896 E757924:E757932 E757960:E757968 E757996:E758004 E758032:E758040 E758068:E758076 E758104:E758112 E758140:E758148 E758176:E758184 E758212:E758220 E758248:E758256 E758284:E758292 E758320:E758328 E758356:E758364 E758392:E758400 E758428:E758436 E758464:E758472 E758500:E758508 E758536:E758544 E758572:E758580 E758608:E758616 E758644:E758652 E758680:E758688 E758716:E758724 E758752:E758760 E758788:E758796 E758824:E758832 E758860:E758868 E758896:E758904 E758932:E758940 E758968:E758976 E759004:E759012 E759040:E759048 E759076:E759084 E759112:E759120 E759148:E759156 E759184:E759192 E759220:E759228 E759256:E759264 E759292:E759300 E759328:E759336 E759364:E759372 E759400:E759408 E759436:E759444 E759472:E759480 E759508:E759516 E759544:E759552 E759580:E759588 E759616:E759624 E759652:E759660 E759688:E759696 E759724:E759732 E759760:E759768 E759796:E759804 E759832:E759840 E759868:E759876 E759904:E759912 E759940:E759948 E759976:E759984 E760012:E760020 E760048:E760056 E760084:E760092 E760120:E760128 E760156:E760164 E760192:E760200 E760228:E760236 E760264:E760272 E760300:E760308 E760336:E760344 E760372:E760380 E760408:E760416 E760444:E760452 E760480:E760488 E760516:E760524 E760552:E760560 E760588:E760596 E760624:E760632 E760660:E760668 E760696:E760704 E760732:E760740 E760768:E760776 E760804:E760812 E760840:E760848 E760876:E760884 E760912:E760920 E760948:E760956 E760984:E760992 E761020:E761028 E761056:E761064 E761092:E761100 E761128:E761136 E761164:E761172 E761200:E761208 E761236:E761244 E761272:E761280 E761308:E761316 E761344:E761352 E761380:E761388 E761416:E761424 E761452:E761460 E761488:E761496 E761524:E761532 E761560:E761568 E761596:E761604 E761632:E761640 E761668:E761676 E761704:E761712 E761740:E761748 E761776:E761784 E761812:E761820 E761848:E761856 E761884:E761892 E761920:E761928 E761956:E761964 E761992:E762000 E762028:E762036 E762064:E762072 E762100:E762108 E762136:E762144 E762172:E762180 E762208:E762216 E762244:E762252 E762280:E762288 E762316:E762324 E762352:E762360 E762388:E762396 E762424:E762432 E762460:E762468 E762496:E762504 E762532:E762540 E762568:E762576 E762604:E762612 E762640:E762648 E762676:E762684 E762712:E762720 E762748:E762756 E762784:E762792 E762820:E762828 E762856:E762864 E762892:E762900 E762928:E762936 E762964:E762972 E763000:E763008 E763036:E763044 E763072:E763080 E763108:E763116 E763144:E763152 E763180:E763188 E763216:E763224 E763252:E763260 E763288:E763296 E763324:E763332 E763360:E763368 E763396:E763404 E763432:E763440 E763468:E763476 E763504:E763512 E763540:E763548 E763576:E763584 E763612:E763620 E763648:E763656 E763684:E763692 E763720:E763728 E763756:E763764 E763792:E763800 E763828:E763836 E763864:E763872 E763900:E763908 E763936:E763944 E763972:E763980 E764008:E764016 E764044:E764052 E764080:E764088 E764116:E764124 E764152:E764160 E764188:E764196 E764224:E764232 E764260:E764268 E764296:E764304 E764332:E764340 E764368:E764376 E764404:E764412 E764440:E764448 E764476:E764484 E764512:E764520 E764548:E764556 E764584:E764592 E764620:E764628 E764656:E764664 E764692:E764700 E764728:E764736 E764764:E764772 E764800:E764808 E764836:E764844 E764872:E764880 E764908:E764916 E764944:E764952 E764980:E764988 E765016:E765024 E765052:E765060 E765088:E765096 E765124:E765132 E765160:E765168 E765196:E765204 E765232:E765240 E765268:E765276 E765304:E765312 E765340:E765348 E765376:E765384 E765412:E765420 E765448:E765456 E765484:E765492 E765520:E765528 E765556:E765564 E765592:E765600 E765628:E765636 E765664:E765672 E765700:E765708 E765736:E765744 E765772:E765780 E765808:E765816 E765844:E765852 E765880:E765888 E765916:E765924 E765952:E765960 E765988:E765996 E766024:E766032 E766060:E766068 E766096:E766104 E766132:E766140 E766168:E766176 E766204:E766212 E766240:E766248 E766276:E766284 E766312:E766320 E766348:E766356 E766384:E766392 E766420:E766428 E766456:E766464 E766492:E766500 E766528:E766536 E766564:E766572 E766600:E766608 E766636:E766644 E766672:E766680 E766708:E766716 E766744:E766752 E766780:E766788 E766816:E766824 E766852:E766860 E766888:E766896 E766924:E766932 E766960:E766968 E766996:E767004 E767032:E767040 E767068:E767076 E767104:E767112 E767140:E767148 E767176:E767184 E767212:E767220 E767248:E767256 E767284:E767292 E767320:E767328 E767356:E767364 E767392:E767400 E767428:E767436 E767464:E767472 E767500:E767508 E767536:E767544 E767572:E767580 E767608:E767616 E767644:E767652 E767680:E767688 E767716:E767724 E767752:E767760 E767788:E767796 E767824:E767832 E767860:E767868 E767896:E767904 E767932:E767940 E767968:E767976 E768004:E768012 E768040:E768048 E768076:E768084 E768112:E768120 E768148:E768156 E768184:E768192 E768220:E768228 E768256:E768264 E768292:E768300 E768328:E768336 E768364:E768372 E768400:E768408 E768436:E768444 E768472:E768480 E768508:E768516 E768544:E768552 E768580:E768588 E768616:E768624 E768652:E768660 E768688:E768696 E768724:E768732 E768760:E768768 E768796:E768804 E768832:E768840 E768868:E768876 E768904:E768912 E768940:E768948 E768976:E768984 E769012:E769020 E769048:E769056 E769084:E769092 E769120:E769128 E769156:E769164 E769192:E769200 E769228:E769236 E769264:E769272 E769300:E769308 E769336:E769344 E769372:E769380 E769408:E769416 E769444:E769452 E769480:E769488 E769516:E769524 E769552:E769560 E769588:E769596 E769624:E769632 E769660:E769668 E769696:E769704 E769732:E769740 E769768:E769776 E769804:E769812 E769840:E769848 E769876:E769884 E769912:E769920 E769948:E769956 E769984:E769992 E770020:E770028 E770056:E770064 E770092:E770100 E770128:E770136 E770164:E770172 E770200:E770208 E770236:E770244 E770272:E770280 E770308:E770316 E770344:E770352 E770380:E770388 E770416:E770424 E770452:E770460 E770488:E770496 E770524:E770532 E770560:E770568 E770596:E770604 E770632:E770640 E770668:E770676 E770704:E770712 E770740:E770748 E770776:E770784 E770812:E770820 E770848:E770856 E770884:E770892 E770920:E770928 E770956:E770964 E770992:E771000 E771028:E771036 E771064:E771072 E771100:E771108 E771136:E771144 E771172:E771180 E771208:E771216 E771244:E771252 E771280:E771288 E771316:E771324 E771352:E771360 E771388:E771396 E771424:E771432 E771460:E771468 E771496:E771504 E771532:E771540 E771568:E771576 E771604:E771612 E771640:E771648 E771676:E771684 E771712:E771720 E771748:E771756 E771784:E771792 E771820:E771828 E771856:E771864 E771892:E771900 E771928:E771936 E771964:E771972 E772000:E772008 E772036:E772044 E772072:E772080 E772108:E772116 E772144:E772152 E772180:E772188 E772216:E772224 E772252:E772260 E772288:E772296 E772324:E772332 E772360:E772368 E772396:E772404 E772432:E772440 E772468:E772476 E772504:E772512 E772540:E772548 E772576:E772584 E772612:E772620 E772648:E772656 E772684:E772692 E772720:E772728 E772756:E772764 E772792:E772800 E772828:E772836 E772864:E772872 E772900:E772908 E772936:E772944 E772972:E772980 E773008:E773016 E773044:E773052 E773080:E773088 E773116:E773124 E773152:E773160 E773188:E773196 E773224:E773232 E773260:E773268 E773296:E773304 E773332:E773340 E773368:E773376 E773404:E773412 E773440:E773448 E773476:E773484 E773512:E773520 E773548:E773556 E773584:E773592 E773620:E773628 E773656:E773664 E773692:E773700 E773728:E773736 E773764:E773772 E773800:E773808 E773836:E773844 E773872:E773880 E773908:E773916 E773944:E773952 E773980:E773988 E774016:E774024 E774052:E774060 E774088:E774096 E774124:E774132 E774160:E774168 E774196:E774204 E774232:E774240 E774268:E774276 E774304:E774312 E774340:E774348 E774376:E774384 E774412:E774420 E774448:E774456 E774484:E774492 E774520:E774528 E774556:E774564 E774592:E774600 E774628:E774636 E774664:E774672 E774700:E774708 E774736:E774744 E774772:E774780 E774808:E774816 E774844:E774852 E774880:E774888 E774916:E774924 E774952:E774960 E774988:E774996 E775024:E775032 E775060:E775068 E775096:E775104 E775132:E775140 E775168:E775176 E775204:E775212 E775240:E775248 E775276:E775284 E775312:E775320 E775348:E775356 E775384:E775392 E775420:E775428 E775456:E775464 E775492:E775500 E775528:E775536 E775564:E775572 E775600:E775608 E775636:E775644 E775672:E775680 E775708:E775716 E775744:E775752 E775780:E775788 E775816:E775824 E775852:E775860 E775888:E775896 E775924:E775932 E775960:E775968 E775996:E776004 E776032:E776040 E776068:E776076 E776104:E776112 E776140:E776148 E776176:E776184 E776212:E776220 E776248:E776256 E776284:E776292 E776320:E776328 E776356:E776364 E776392:E776400 E776428:E776436 E776464:E776472 E776500:E776508 E776536:E776544 E776572:E776580 E776608:E776616 E776644:E776652 E776680:E776688 E776716:E776724 E776752:E776760 E776788:E776796 E776824:E776832 E776860:E776868 E776896:E776904 E776932:E776940 E776968:E776976 E777004:E777012 E777040:E777048 E777076:E777084 E777112:E777120 E777148:E777156 E777184:E777192 E777220:E777228 E777256:E777264 E777292:E777300 E777328:E777336 E777364:E777372 E777400:E777408 E777436:E777444 E777472:E777480 E777508:E777516 E777544:E777552 E777580:E777588 E777616:E777624 E777652:E777660 E777688:E777696 E777724:E777732 E777760:E777768 E777796:E777804 E777832:E777840 E777868:E777876 E777904:E777912 E777940:E777948 E777976:E777984 E778012:E778020 E778048:E778056 E778084:E778092 E778120:E778128 E778156:E778164 E778192:E778200 E778228:E778236 E778264:E778272 E778300:E778308 E778336:E778344 E778372:E778380 E778408:E778416 E778444:E778452 E778480:E778488 E778516:E778524 E778552:E778560 E778588:E778596 E778624:E778632 E778660:E778668 E778696:E778704 E778732:E778740 E778768:E778776 E778804:E778812 E778840:E778848 E778876:E778884 E778912:E778920 E778948:E778956 E778984:E778992 E779020:E779028 E779056:E779064 E779092:E779100 E779128:E779136 E779164:E779172 E779200:E779208 E779236:E779244 E779272:E779280 E779308:E779316 E779344:E779352 E779380:E779388 E779416:E779424 E779452:E779460 E779488:E779496 E779524:E779532 E779560:E779568 E779596:E779604 E779632:E779640 E779668:E779676 E779704:E779712 E779740:E779748 E779776:E779784 E779812:E779820 E779848:E779856 E779884:E779892 E779920:E779928 E779956:E779964 E779992:E780000 E780028:E780036 E780064:E780072 E780100:E780108 E780136:E780144 E780172:E780180 E780208:E780216 E780244:E780252 E780280:E780288 E780316:E780324 E780352:E780360 E780388:E780396 E780424:E780432 E780460:E780468 E780496:E780504 E780532:E780540 E780568:E780576 E780604:E780612 E780640:E780648 E780676:E780684 E780712:E780720 E780748:E780756 E780784:E780792 E780820:E780828 E780856:E780864 E780892:E780900 E780928:E780936 E780964:E780972 E781000:E781008 E781036:E781044 E781072:E781080 E781108:E781116 E781144:E781152 E781180:E781188 E781216:E781224 E781252:E781260 E781288:E781296 E781324:E781332 E781360:E781368 E781396:E781404 E781432:E781440 E781468:E781476 E781504:E781512 E781540:E781548 E781576:E781584 E781612:E781620 E781648:E781656 E781684:E781692 E781720:E781728 E781756:E781764 E781792:E781800 E781828:E781836 E781864:E781872 E781900:E781908 E781936:E781944 E781972:E781980 E782008:E782016 E782044:E782052 E782080:E782088 E782116:E782124 E782152:E782160 E782188:E782196 E782224:E782232 E782260:E782268 E782296:E782304 E782332:E782340 E782368:E782376 E782404:E782412 E782440:E782448 E782476:E782484 E782512:E782520 E782548:E782556 E782584:E782592 E782620:E782628 E782656:E782664 E782692:E782700 E782728:E782736 E782764:E782772 E782800:E782808 E782836:E782844 E782872:E782880 E782908:E782916 E782944:E782952 E782980:E782988 E783016:E783024 E783052:E783060 E783088:E783096 E783124:E783132 E783160:E783168 E783196:E783204 E783232:E783240 E783268:E783276 E783304:E783312 E783340:E783348 E783376:E783384 E783412:E783420 E783448:E783456 E783484:E783492 E783520:E783528 E783556:E783564 E783592:E783600 E783628:E783636 E783664:E783672 E783700:E783708 E783736:E783744 E783772:E783780 E783808:E783816 E783844:E783852 E783880:E783888 E783916:E783924 E783952:E783960 E783988:E783996 E784024:E784032 E784060:E784068 E784096:E784104 E784132:E784140 E784168:E784176 E784204:E784212 E784240:E784248 E784276:E784284 E784312:E784320 E784348:E784356 E784384:E784392 E784420:E784428 E784456:E784464 E784492:E784500 E784528:E784536 E784564:E784572 E784600:E784608 E784636:E784644 E784672:E784680 E784708:E784716 E784744:E784752 E784780:E784788 E784816:E784824 E784852:E784860 E784888:E784896 E784924:E784932 E784960:E784968 E784996:E785004 E785032:E785040 E785068:E785076 E785104:E785112 E785140:E785148 E785176:E785184 E785212:E785220 E785248:E785256 E785284:E785292 E785320:E785328 E785356:E785364 E785392:E785400 E785428:E785436 E785464:E785472 E785500:E785508 E785536:E785544 E785572:E785580 E785608:E785616 E785644:E785652 E785680:E785688 E785716:E785724 E785752:E785760 E785788:E785796 E785824:E785832 E785860:E785868 E785896:E785904 E785932:E785940 E785968:E785976 E786004:E786012 E786040:E786048 E786076:E786084 E786112:E786120 E786148:E786156 E786184:E786192 E786220:E786228 E786256:E786264 E786292:E786300 E786328:E786336 E786364:E786372 E786400:E786408 E786436:E786444 E786472:E786480 E786508:E786516 E786544:E786552 E786580:E786588 E786616:E786624 E786652:E786660 E786688:E786696 E786724:E786732 E786760:E786768 E786796:E786804 E786832:E786840 E786868:E786876 E786904:E786912 E786940:E786948 E786976:E786984 E787012:E787020 E787048:E787056 E787084:E787092 E787120:E787128 E787156:E787164 E787192:E787200 E787228:E787236 E787264:E787272 E787300:E787308 E787336:E787344 E787372:E787380 E787408:E787416 E787444:E787452 E787480:E787488 E787516:E787524 E787552:E787560 E787588:E787596 E787624:E787632 E787660:E787668 E787696:E787704 E787732:E787740 E787768:E787776 E787804:E787812 E787840:E787848 E787876:E787884 E787912:E787920 E787948:E787956 E787984:E787992 E788020:E788028 E788056:E788064 E788092:E788100 E788128:E788136 E788164:E788172 E788200:E788208 E788236:E788244 E788272:E788280 E788308:E788316 E788344:E788352 E788380:E788388 E788416:E788424 E788452:E788460 E788488:E788496 E788524:E788532 E788560:E788568 E788596:E788604 E788632:E788640 E788668:E788676 E788704:E788712 E788740:E788748 E788776:E788784 E788812:E788820 E788848:E788856 E788884:E788892 E788920:E788928 E788956:E788964 E788992:E789000 E789028:E789036 E789064:E789072 E789100:E789108 E789136:E789144 E789172:E789180 E789208:E789216 E789244:E789252 E789280:E789288 E789316:E789324 E789352:E789360 E789388:E789396 E789424:E789432 E789460:E789468 E789496:E789504 E789532:E789540 E789568:E789576 E789604:E789612 E789640:E789648 E789676:E789684 E789712:E789720 E789748:E789756 E789784:E789792 E789820:E789828 E789856:E789864 E789892:E789900 E789928:E789936 E789964:E789972 E790000:E790008 E790036:E790044 E790072:E790080 E790108:E790116 E790144:E790152 E790180:E790188 E790216:E790224 E790252:E790260 E790288:E790296 E790324:E790332 E790360:E790368 E790396:E790404 E790432:E790440 E790468:E790476 E790504:E790512 E790540:E790548 E790576:E790584 E790612:E790620 E790648:E790656 E790684:E790692 E790720:E790728 E790756:E790764 E790792:E790800 E790828:E790836 E790864:E790872 E790900:E790908 E790936:E790944 E790972:E790980 E791008:E791016 E791044:E791052 E791080:E791088 E791116:E791124 E791152:E791160 E791188:E791196 E791224:E791232 E791260:E791268 E791296:E791304 E791332:E791340 E791368:E791376 E791404:E791412 E791440:E791448 E791476:E791484 E791512:E791520 E791548:E791556 E791584:E791592 E791620:E791628 E791656:E791664 E791692:E791700 E791728:E791736 E791764:E791772 E791800:E791808 E791836:E791844 E791872:E791880 E791908:E791916 E791944:E791952 E791980:E791988 E792016:E792024 E792052:E792060 E792088:E792096 E792124:E792132 E792160:E792168 E792196:E792204 E792232:E792240 E792268:E792276 E792304:E792312 E792340:E792348 E792376:E792384 E792412:E792420 E792448:E792456 E792484:E792492 E792520:E792528 E792556:E792564 E792592:E792600 E792628:E792636 E792664:E792672 E792700:E792708 E792736:E792744 E792772:E792780 E792808:E792816 E792844:E792852 E792880:E792888 E792916:E792924 E792952:E792960 E792988:E792996 E793024:E793032 E793060:E793068 E793096:E793104 E793132:E793140 E793168:E793176 E793204:E793212 E793240:E793248 E793276:E793284 E793312:E793320 E793348:E793356 E793384:E793392 E793420:E793428 E793456:E793464 E793492:E793500 E793528:E793536 E793564:E793572 E793600:E793608 E793636:E793644 E793672:E793680 E793708:E793716 E793744:E793752 E793780:E793788 E793816:E793824 E793852:E793860 E793888:E793896 E793924:E793932 E793960:E793968 E793996:E794004 E794032:E794040 E794068:E794076 E794104:E794112 E794140:E794148 E794176:E794184 E794212:E794220 E794248:E794256 E794284:E794292 E794320:E794328 E794356:E794364 E794392:E794400 E794428:E794436 E794464:E794472 E794500:E794508 E794536:E794544 E794572:E794580 E794608:E794616 E794644:E794652 E794680:E794688 E794716:E794724 E794752:E794760 E794788:E794796 E794824:E794832 E794860:E794868 E794896:E794904 E794932:E794940 E794968:E794976 E795004:E795012 E795040:E795048 E795076:E795084 E795112:E795120 E795148:E795156 E795184:E795192 E795220:E795228 E795256:E795264 E795292:E795300 E795328:E795336 E795364:E795372 E795400:E795408 E795436:E795444 E795472:E795480 E795508:E795516 E795544:E795552 E795580:E795588 E795616:E795624 E795652:E795660 E795688:E795696 E795724:E795732 E795760:E795768 E795796:E795804 E795832:E795840 E795868:E795876 E795904:E795912 E795940:E795948 E795976:E795984 E796012:E796020 E796048:E796056 E796084:E796092 E796120:E796128 E796156:E796164 E796192:E796200 E796228:E796236 E796264:E796272 E796300:E796308 E796336:E796344 E796372:E796380 E796408:E796416 E796444:E796452 E796480:E796488 E796516:E796524 E796552:E796560 E796588:E796596 E796624:E796632 E796660:E796668 E796696:E796704 E796732:E796740 E796768:E796776 E796804:E796812 E796840:E796848 E796876:E796884 E796912:E796920 E796948:E796956 E796984:E796992 E797020:E797028 E797056:E797064 E797092:E797100 E797128:E797136 E797164:E797172 E797200:E797208 E797236:E797244 E797272:E797280 E797308:E797316 E797344:E797352 E797380:E797388 E797416:E797424 E797452:E797460 E797488:E797496 E797524:E797532 E797560:E797568 E797596:E797604 E797632:E797640 E797668:E797676 E797704:E797712 E797740:E797748 E797776:E797784 E797812:E797820 E797848:E797856 E797884:E797892 E797920:E797928 E797956:E797964 E797992:E798000 E798028:E798036 E798064:E798072 E798100:E798108 E798136:E798144 E798172:E798180 E798208:E798216 E798244:E798252 E798280:E798288 E798316:E798324 E798352:E798360 E798388:E798396 E798424:E798432 E798460:E798468 E798496:E798504 E798532:E798540 E798568:E798576 E798604:E798612 E798640:E798648 E798676:E798684 E798712:E798720 E798748:E798756 E798784:E798792 E798820:E798828 E798856:E798864 E798892:E798900 E798928:E798936 E798964:E798972 E799000:E799008 E799036:E799044 E799072:E799080 E799108:E799116 E799144:E799152 E799180:E799188 E799216:E799224 E799252:E799260 E799288:E799296 E799324:E799332 E799360:E799368 E799396:E799404 E799432:E799440 E799468:E799476 E799504:E799512 E799540:E799548 E799576:E799584 E799612:E799620 E799648:E799656 E799684:E799692 E799720:E799728 E799756:E799764 E799792:E799800 E799828:E799836 E799864:E799872 E799900:E799908 E799936:E799944 E799972:E799980 E800008:E800016 E800044:E800052 E800080:E800088 E800116:E800124 E800152:E800160 E800188:E800196 E800224:E800232 E800260:E800268 E800296:E800304 E800332:E800340 E800368:E800376 E800404:E800412 E800440:E800448 E800476:E800484 E800512:E800520 E800548:E800556 E800584:E800592 E800620:E800628 E800656:E800664 E800692:E800700 E800728:E800736 E800764:E800772 E800800:E800808 E800836:E800844 E800872:E800880 E800908:E800916 E800944:E800952 E800980:E800988 E801016:E801024 E801052:E801060 E801088:E801096 E801124:E801132 E801160:E801168 E801196:E801204 E801232:E801240 E801268:E801276 E801304:E801312 E801340:E801348 E801376:E801384 E801412:E801420 E801448:E801456 E801484:E801492 E801520:E801528 E801556:E801564 E801592:E801600 E801628:E801636 E801664:E801672 E801700:E801708 E801736:E801744 E801772:E801780 E801808:E801816 E801844:E801852 E801880:E801888 E801916:E801924 E801952:E801960 E801988:E801996 E802024:E802032 E802060:E802068 E802096:E802104 E802132:E802140 E802168:E802176 E802204:E802212 E802240:E802248 E802276:E802284 E802312:E802320 E802348:E802356 E802384:E802392 E802420:E802428 E802456:E802464 E802492:E802500 E802528:E802536 E802564:E802572 E802600:E802608 E802636:E802644 E802672:E802680 E802708:E802716 E802744:E802752 E802780:E802788 E802816:E802824 E802852:E802860 E802888:E802896 E802924:E802932 E802960:E802968 E802996:E803004 E803032:E803040 E803068:E803076 E803104:E803112 E803140:E803148 E803176:E803184 E803212:E803220 E803248:E803256 E803284:E803292 E803320:E803328 E803356:E803364 E803392:E803400 E803428:E803436 E803464:E803472 E803500:E803508 E803536:E803544 E803572:E803580 E803608:E803616 E803644:E803652 E803680:E803688 E803716:E803724 E803752:E803760 E803788:E803796 E803824:E803832 E803860:E803868 E803896:E803904 E803932:E803940 E803968:E803976 E804004:E804012 E804040:E804048 E804076:E804084 E804112:E804120 E804148:E804156 E804184:E804192 E804220:E804228 E804256:E804264 E804292:E804300 E804328:E804336 E804364:E804372 E804400:E804408 E804436:E804444 E804472:E804480 E804508:E804516 E804544:E804552 E804580:E804588 E804616:E804624 E804652:E804660 E804688:E804696 E804724:E804732 E804760:E804768 E804796:E804804 E804832:E804840 E804868:E804876 E804904:E804912 E804940:E804948 E804976:E804984 E805012:E805020 E805048:E805056 E805084:E805092 E805120:E805128 E805156:E805164 E805192:E805200 E805228:E805236 E805264:E805272 E805300:E805308 E805336:E805344 E805372:E805380 E805408:E805416 E805444:E805452 E805480:E805488 E805516:E805524 E805552:E805560 E805588:E805596 E805624:E805632 E805660:E805668 E805696:E805704 E805732:E805740 E805768:E805776 E805804:E805812 E805840:E805848 E805876:E805884 E805912:E805920 E805948:E805956 E805984:E805992 E806020:E806028 E806056:E806064 E806092:E806100 E806128:E806136 E806164:E806172 E806200:E806208 E806236:E806244 E806272:E806280 E806308:E806316 E806344:E806352 E806380:E806388 E806416:E806424 E806452:E806460 E806488:E806496 E806524:E806532 E806560:E806568 E806596:E806604 E806632:E806640 E806668:E806676 E806704:E806712 E806740:E806748 E806776:E806784 E806812:E806820 E806848:E806856 E806884:E806892 E806920:E806928 E806956:E806964 E806992:E807000 E807028:E807036 E807064:E807072 E807100:E807108 E807136:E807144 E807172:E807180 E807208:E807216 E807244:E807252 E807280:E807288 E807316:E807324 E807352:E807360 E807388:E807396 E807424:E807432 E807460:E807468 E807496:E807504 E807532:E807540 E807568:E807576 E807604:E807612 E807640:E807648 E807676:E807684 E807712:E807720 E807748:E807756 E807784:E807792 E807820:E807828 E807856:E807864 E807892:E807900 E807928:E807936 E807964:E807972 E808000:E808008 E808036:E808044 E808072:E808080 E808108:E808116 E808144:E808152 E808180:E808188 E808216:E808224 E808252:E808260 E808288:E808296 E808324:E808332 E808360:E808368 E808396:E808404 E808432:E808440 E808468:E808476 E808504:E808512 E808540:E808548 E808576:E808584 E808612:E808620 E808648:E808656 E808684:E808692 E808720:E808728 E808756:E808764 E808792:E808800 E808828:E808836 E808864:E808872 E808900:E808908 E808936:E808944 E808972:E808980 E809008:E809016 E809044:E809052 E809080:E809088 E809116:E809124 E809152:E809160 E809188:E809196 E809224:E809232 E809260:E809268 E809296:E809304 E809332:E809340 E809368:E809376 E809404:E809412 E809440:E809448 E809476:E809484 E809512:E809520 E809548:E809556 E809584:E809592 E809620:E809628 E809656:E809664 E809692:E809700 E809728:E809736 E809764:E809772 E809800:E809808 E809836:E809844 E809872:E809880 E809908:E809916 E809944:E809952 E809980:E809988 E810016:E810024 E810052:E810060 E810088:E810096 E810124:E810132 E810160:E810168 E810196:E810204 E810232:E810240 E810268:E810276 E810304:E810312 E810340:E810348 E810376:E810384 E810412:E810420 E810448:E810456 E810484:E810492 E810520:E810528 E810556:E810564 E810592:E810600 E810628:E810636 E810664:E810672 E810700:E810708 E810736:E810744 E810772:E810780 E810808:E810816 E810844:E810852 E810880:E810888 E810916:E810924 E810952:E810960 E810988:E810996 E811024:E811032 E811060:E811068 E811096:E811104 E811132:E811140 E811168:E811176 E811204:E811212 E811240:E811248 E811276:E811284 E811312:E811320 E811348:E811356 E811384:E811392 E811420:E811428 E811456:E811464 E811492:E811500 E811528:E811536 E811564:E811572 E811600:E811608 E811636:E811644 E811672:E811680 E811708:E811716 E811744:E811752 E811780:E811788 E811816:E811824 E811852:E811860 E811888:E811896 E811924:E811932 E811960:E811968 E811996:E812004 E812032:E812040 E812068:E812076 E812104:E812112 E812140:E812148 E812176:E812184 E812212:E812220 E812248:E812256 E812284:E812292 E812320:E812328 E812356:E812364 E812392:E812400 E812428:E812436 E812464:E812472 E812500:E812508 E812536:E812544 E812572:E812580 E812608:E812616 E812644:E812652 E812680:E812688 E812716:E812724 E812752:E812760 E812788:E812796 E812824:E812832 E812860:E812868 E812896:E812904 E812932:E812940 E812968:E812976 E813004:E813012 E813040:E813048 E813076:E813084 E813112:E813120 E813148:E813156 E813184:E813192 E813220:E813228 E813256:E813264 E813292:E813300 E813328:E813336 E813364:E813372 E813400:E813408 E813436:E813444 E813472:E813480 E813508:E813516 E813544:E813552 E813580:E813588 E813616:E813624 E813652:E813660 E813688:E813696 E813724:E813732 E813760:E813768 E813796:E813804 E813832:E813840 E813868:E813876 E813904:E813912 E813940:E813948 E813976:E813984 E814012:E814020 E814048:E814056 E814084:E814092 E814120:E814128 E814156:E814164 E814192:E814200 E814228:E814236 E814264:E814272 E814300:E814308 E814336:E814344 E814372:E814380 E814408:E814416 E814444:E814452 E814480:E814488 E814516:E814524 E814552:E814560 E814588:E814596 E814624:E814632 E814660:E814668 E814696:E814704 E814732:E814740 E814768:E814776 E814804:E814812 E814840:E814848 E814876:E814884 E814912:E814920 E814948:E814956 E814984:E814992 E815020:E815028 E815056:E815064 E815092:E815100 E815128:E815136 E815164:E815172 E815200:E815208 E815236:E815244 E815272:E815280 E815308:E815316 E815344:E815352 E815380:E815388 E815416:E815424 E815452:E815460 E815488:E815496 E815524:E815532 E815560:E815568 E815596:E815604 E815632:E815640 E815668:E815676 E815704:E815712 E815740:E815748 E815776:E815784 E815812:E815820 E815848:E815856 E815884:E815892 E815920:E815928 E815956:E815964 E815992:E816000 E816028:E816036 E816064:E816072 E816100:E816108 E816136:E816144 E816172:E816180 E816208:E816216 E816244:E816252 E816280:E816288 E816316:E816324 E816352:E816360 E816388:E816396 E816424:E816432 E816460:E816468 E816496:E816504 E816532:E816540 E816568:E816576 E816604:E816612 E816640:E816648 E816676:E816684 E816712:E816720 E816748:E816756 E816784:E816792 E816820:E816828 E816856:E816864 E816892:E816900 E816928:E816936 E816964:E816972 E817000:E817008 E817036:E817044 E817072:E817080 E817108:E817116 E817144:E817152 E817180:E817188 E817216:E817224 E817252:E817260 E817288:E817296 E817324:E817332 E817360:E817368 E817396:E817404 E817432:E817440 E817468:E817476 E817504:E817512 E817540:E817548 E817576:E817584 E817612:E817620 E817648:E817656 E817684:E817692 E817720:E817728 E817756:E817764 E817792:E817800 E817828:E817836 E817864:E817872 E817900:E817908 E817936:E817944 E817972:E817980 E818008:E818016 E818044:E818052 E818080:E818088 E818116:E818124 E818152:E818160 E818188:E818196 E818224:E818232 E818260:E818268 E818296:E818304 E818332:E818340 E818368:E818376 E818404:E818412 E818440:E818448 E818476:E818484 E818512:E818520 E818548:E818556 E818584:E818592 E818620:E818628 E818656:E818664 E818692:E818700 E818728:E818736 E818764:E818772 E818800:E818808 E818836:E818844 E818872:E818880 E818908:E818916 E818944:E818952 E818980:E818988 E819016:E819024 E819052:E819060 E819088:E819096 E819124:E819132 E819160:E819168 E819196:E819204 E819232:E819240 E819268:E819276 E819304:E819312 E819340:E819348 E819376:E819384 E819412:E819420 E819448:E819456 E819484:E819492 E819520:E819528 E819556:E819564 E819592:E819600 E819628:E819636 E819664:E819672 E819700:E819708 E819736:E819744 E819772:E819780 E819808:E819816 E819844:E819852 E819880:E819888 E819916:E819924 E819952:E819960 E819988:E819996 E820024:E820032 E820060:E820068 E820096:E820104 E820132:E820140 E820168:E820176 E820204:E820212 E820240:E820248 E820276:E820284 E820312:E820320 E820348:E820356 E820384:E820392 E820420:E820428 E820456:E820464 E820492:E820500 E820528:E820536 E820564:E820572 E820600:E820608 E820636:E820644 E820672:E820680 E820708:E820716 E820744:E820752 E820780:E820788 E820816:E820824 E820852:E820860 E820888:E820896 E820924:E820932 E820960:E820968 E820996:E821004 E821032:E821040 E821068:E821076 E821104:E821112 E821140:E821148 E821176:E821184 E821212:E821220 E821248:E821256 E821284:E821292 E821320:E821328 E821356:E821364 E821392:E821400 E821428:E821436 E821464:E821472 E821500:E821508 E821536:E821544 E821572:E821580 E821608:E821616 E821644:E821652 E821680:E821688 E821716:E821724 E821752:E821760 E821788:E821796 E821824:E821832 E821860:E821868 E821896:E821904 E821932:E821940 E821968:E821976 E822004:E822012 E822040:E822048 E822076:E822084 E822112:E822120 E822148:E822156 E822184:E822192 E822220:E822228 E822256:E822264 E822292:E822300 E822328:E822336 E822364:E822372 E822400:E822408 E822436:E822444 E822472:E822480 E822508:E822516 E822544:E822552 E822580:E822588 E822616:E822624 E822652:E822660 E822688:E822696 E822724:E822732 E822760:E822768 E822796:E822804 E822832:E822840 E822868:E822876 E822904:E822912 E822940:E822948 E822976:E822984 E823012:E823020 E823048:E823056 E823084:E823092 E823120:E823128 E823156:E823164 E823192:E823200 E823228:E823236 E823264:E823272 E823300:E823308 E823336:E823344 E823372:E823380 E823408:E823416 E823444:E823452 E823480:E823488 E823516:E823524 E823552:E823560 E823588:E823596 E823624:E823632 E823660:E823668 E823696:E823704 E823732:E823740 E823768:E823776 E823804:E823812 E823840:E823848 E823876:E823884 E823912:E823920 E823948:E823956 E823984:E823992 E824020:E824028 E824056:E824064 E824092:E824100 E824128:E824136 E824164:E824172 E824200:E824208 E824236:E824244 E824272:E824280 E824308:E824316 E824344:E824352 E824380:E824388 E824416:E824424 E824452:E824460 E824488:E824496 E824524:E824532 E824560:E824568 E824596:E824604 E824632:E824640 E824668:E824676 E824704:E824712 E824740:E824748 E824776:E824784 E824812:E824820 E824848:E824856 E824884:E824892 E824920:E824928 E824956:E824964 E824992:E825000 E825028:E825036 E825064:E825072 E825100:E825108 E825136:E825144 E825172:E825180 E825208:E825216 E825244:E825252 E825280:E825288 E825316:E825324 E825352:E825360 E825388:E825396 E825424:E825432 E825460:E825468 E825496:E825504 E825532:E825540 E825568:E825576 E825604:E825612 E825640:E825648 E825676:E825684 E825712:E825720 E825748:E825756 E825784:E825792 E825820:E825828 E825856:E825864 E825892:E825900 E825928:E825936 E825964:E825972 E826000:E826008 E826036:E826044 E826072:E826080 E826108:E826116 E826144:E826152 E826180:E826188 E826216:E826224 E826252:E826260 E826288:E826296 E826324:E826332 E826360:E826368 E826396:E826404 E826432:E826440 E826468:E826476 E826504:E826512 E826540:E826548 E826576:E826584 E826612:E826620 E826648:E826656 E826684:E826692 E826720:E826728 E826756:E826764 E826792:E826800 E826828:E826836 E826864:E826872 E826900:E826908 E826936:E826944 E826972:E826980 E827008:E827016 E827044:E827052 E827080:E827088 E827116:E827124 E827152:E827160 E827188:E827196 E827224:E827232 E827260:E827268 E827296:E827304 E827332:E827340 E827368:E827376 E827404:E827412 E827440:E827448 E827476:E827484 E827512:E827520 E827548:E827556 E827584:E827592 E827620:E827628 E827656:E827664 E827692:E827700 E827728:E827736 E827764:E827772 E827800:E827808 E827836:E827844 E827872:E827880 E827908:E827916 E827944:E827952 E827980:E827988 E828016:E828024 E828052:E828060 E828088:E828096 E828124:E828132 E828160:E828168 E828196:E828204 E828232:E828240 E828268:E828276 E828304:E828312 E828340:E828348 E828376:E828384 E828412:E828420 E828448:E828456 E828484:E828492 E828520:E828528 E828556:E828564 E828592:E828600 E828628:E828636 E828664:E828672 E828700:E828708 E828736:E828744 E828772:E828780 E828808:E828816 E828844:E828852 E828880:E828888 E828916:E828924 E828952:E828960 E828988:E828996 E829024:E829032 E829060:E829068 E829096:E829104 E829132:E829140 E829168:E829176 E829204:E829212 E829240:E829248 E829276:E829284 E829312:E829320 E829348:E829356 E829384:E829392 E829420:E829428 E829456:E829464 E829492:E829500 E829528:E829536 E829564:E829572 E829600:E829608 E829636:E829644 E829672:E829680 E829708:E829716 E829744:E829752 E829780:E829788 E829816:E829824 E829852:E829860 E829888:E829896 E829924:E829932 E829960:E829968 E829996:E830004 E830032:E830040 E830068:E830076 E830104:E830112 E830140:E830148 E830176:E830184 E830212:E830220 E830248:E830256 E830284:E830292 E830320:E830328 E830356:E830364 E830392:E830400 E830428:E830436 E830464:E830472 E830500:E830508 E830536:E830544 E830572:E830580 E830608:E830616 E830644:E830652 E830680:E830688 E830716:E830724 E830752:E830760 E830788:E830796 E830824:E830832 E830860:E830868 E830896:E830904 E830932:E830940 E830968:E830976 E831004:E831012 E831040:E831048 E831076:E831084 E831112:E831120 E831148:E831156 E831184:E831192 E831220:E831228 E831256:E831264 E831292:E831300 E831328:E831336 E831364:E831372 E831400:E831408 E831436:E831444 E831472:E831480 E831508:E831516 E831544:E831552 E831580:E831588 E831616:E831624 E831652:E831660 E831688:E831696 E831724:E831732 E831760:E831768 E831796:E831804 E831832:E831840 E831868:E831876 E831904:E831912 E831940:E831948 E831976:E831984 E832012:E832020 E832048:E832056 E832084:E832092 E832120:E832128 E832156:E832164 E832192:E832200 E832228:E832236 E832264:E832272 E832300:E832308 E832336:E832344 E832372:E832380 E832408:E832416 E832444:E832452 E832480:E832488 E832516:E832524 E832552:E832560 E832588:E832596 E832624:E832632 E832660:E832668 E832696:E832704 E832732:E832740 E832768:E832776 E832804:E832812 E832840:E832848 E832876:E832884 E832912:E832920 E832948:E832956 E832984:E832992 E833020:E833028 E833056:E833064 E833092:E833100 E833128:E833136 E833164:E833172 E833200:E833208 E833236:E833244 E833272:E833280 E833308:E833316 E833344:E833352 E833380:E833388 E833416:E833424 E833452:E833460 E833488:E833496 E833524:E833532 E833560:E833568 E833596:E833604 E833632:E833640 E833668:E833676 E833704:E833712 E833740:E833748 E833776:E833784 E833812:E833820 E833848:E833856 E833884:E833892 E833920:E833928 E833956:E833964 E833992:E834000 E834028:E834036 E834064:E834072 E834100:E834108 E834136:E834144 E834172:E834180 E834208:E834216 E834244:E834252 E834280:E834288 E834316:E834324 E834352:E834360 E834388:E834396 E834424:E834432 E834460:E834468 E834496:E834504 E834532:E834540 E834568:E834576 E834604:E834612 E834640:E834648 E834676:E834684 E834712:E834720 E834748:E834756 E834784:E834792 E834820:E834828 E834856:E834864 E834892:E834900 E834928:E834936 E834964:E834972 E835000:E835008 E835036:E835044 E835072:E835080 E835108:E835116 E835144:E835152 E835180:E835188 E835216:E835224 E835252:E835260 E835288:E835296 E835324:E835332 E835360:E835368 E835396:E835404 E835432:E835440 E835468:E835476 E835504:E835512 E835540:E835548 E835576:E835584 E835612:E835620 E835648:E835656 E835684:E835692 E835720:E835728 E835756:E835764 E835792:E835800 E835828:E835836 E835864:E835872 E835900:E835908 E835936:E835944 E835972:E835980 E836008:E836016 E836044:E836052 E836080:E836088 E836116:E836124 E836152:E836160 E836188:E836196 E836224:E836232 E836260:E836268 E836296:E836304 E836332:E836340 E836368:E836376 E836404:E836412 E836440:E836448 E836476:E836484 E836512:E836520 E836548:E836556 E836584:E836592 E836620:E836628 E836656:E836664 E836692:E836700 E836728:E836736 E836764:E836772 E836800:E836808 E836836:E836844 E836872:E836880 E836908:E836916 E836944:E836952 E836980:E836988 E837016:E837024 E837052:E837060 E837088:E837096 E837124:E837132 E837160:E837168 E837196:E837204 E837232:E837240 E837268:E837276 E837304:E837312 E837340:E837348 E837376:E837384 E837412:E837420 E837448:E837456 E837484:E837492 E837520:E837528 E837556:E837564 E837592:E837600 E837628:E837636 E837664:E837672 E837700:E837708 E837736:E837744 E837772:E837780 E837808:E837816 E837844:E837852 E837880:E837888 E837916:E837924 E837952:E837960 E837988:E837996 E838024:E838032 E838060:E838068 E838096:E838104 E838132:E838140 E838168:E838176 E838204:E838212 E838240:E838248 E838276:E838284 E838312:E838320 E838348:E838356 E838384:E838392 E838420:E838428 E838456:E838464 E838492:E838500 E838528:E838536 E838564:E838572 E838600:E838608 E838636:E838644 E838672:E838680 E838708:E838716 E838744:E838752 E838780:E838788 E838816:E838824 E838852:E838860 E838888:E838896 E838924:E838932 E838960:E838968 E838996:E839004 E839032:E839040 E839068:E839076 E839104:E839112 E839140:E839148 E839176:E839184 E839212:E839220 E839248:E839256 E839284:E839292 E839320:E839328 E839356:E839364 E839392:E839400 E839428:E839436 E839464:E839472 E839500:E839508 E839536:E839544 E839572:E839580 E839608:E839616 E839644:E839652 E839680:E839688 E839716:E839724 E839752:E839760 E839788:E839796 E839824:E839832 E839860:E839868 E839896:E839904 E839932:E839940 E839968:E839976 E840004:E840012 E840040:E840048 E840076:E840084 E840112:E840120 E840148:E840156 E840184:E840192 E840220:E840228 E840256:E840264 E840292:E840300 E840328:E840336 E840364:E840372 E840400:E840408 E840436:E840444 E840472:E840480 E840508:E840516 E840544:E840552 E840580:E840588 E840616:E840624 E840652:E840660 E840688:E840696 E840724:E840732 E840760:E840768 E840796:E840804 E840832:E840840 E840868:E840876 E840904:E840912 E840940:E840948 E840976:E840984 E841012:E841020 E841048:E841056 E841084:E841092 E841120:E841128 E841156:E841164 E841192:E841200 E841228:E841236 E841264:E841272 E841300:E841308 E841336:E841344 E841372:E841380 E841408:E841416 E841444:E841452 E841480:E841488 E841516:E841524 E841552:E841560 E841588:E841596 E841624:E841632 E841660:E841668 E841696:E841704 E841732:E841740 E841768:E841776 E841804:E841812 E841840:E841848 E841876:E841884 E841912:E841920 E841948:E841956 E841984:E841992 E842020:E842028 E842056:E842064 E842092:E842100 E842128:E842136 E842164:E842172 E842200:E842208 E842236:E842244 E842272:E842280 E842308:E842316 E842344:E842352 E842380:E842388 E842416:E842424 E842452:E842460 E842488:E842496 E842524:E842532 E842560:E842568 E842596:E842604 E842632:E842640 E842668:E842676 E842704:E842712 E842740:E842748 E842776:E842784 E842812:E842820 E842848:E842856 E842884:E842892 E842920:E842928 E842956:E842964 E842992:E843000 E843028:E843036 E843064:E843072 E843100:E843108 E843136:E843144 E843172:E843180 E843208:E843216 E843244:E843252 E843280:E843288 E843316:E843324 E843352:E843360 E843388:E843396 E843424:E843432 E843460:E843468 E843496:E843504 E843532:E843540 E843568:E843576 E843604:E843612 E843640:E843648 E843676:E843684 E843712:E843720 E843748:E843756 E843784:E843792 E843820:E843828 E843856:E843864 E843892:E843900 E843928:E843936 E843964:E843972 E844000:E844008 E844036:E844044 E844072:E844080 E844108:E844116 E844144:E844152 E844180:E844188 E844216:E844224 E844252:E844260 E844288:E844296 E844324:E844332 E844360:E844368 E844396:E844404 E844432:E844440 E844468:E844476 E844504:E844512 E844540:E844548 E844576:E844584 E844612:E844620 E844648:E844656 E844684:E844692 E844720:E844728 E844756:E844764 E844792:E844800 E844828:E844836 E844864:E844872 E844900:E844908 E844936:E844944 E844972:E844980 E845008:E845016 E845044:E845052 E845080:E845088 E845116:E845124 E845152:E845160 E845188:E845196 E845224:E845232 E845260:E845268 E845296:E845304 E845332:E845340 E845368:E845376 E845404:E845412 E845440:E845448 E845476:E845484 E845512:E845520 E845548:E845556 E845584:E845592 E845620:E845628 E845656:E845664 E845692:E845700 E845728:E845736 E845764:E845772 E845800:E845808 E845836:E845844 E845872:E845880 E845908:E845916 E845944:E845952 E845980:E845988 E846016:E846024 E846052:E846060 E846088:E846096 E846124:E846132 E846160:E846168 E846196:E846204 E846232:E846240 E846268:E846276 E846304:E846312 E846340:E846348 E846376:E846384 E846412:E846420 E846448:E846456 E846484:E846492 E846520:E846528 E846556:E846564 E846592:E846600 E846628:E846636 E846664:E846672 E846700:E846708 E846736:E846744 E846772:E846780 E846808:E846816 E846844:E846852 E846880:E846888 E846916:E846924 E846952:E846960 E846988:E846996 E847024:E847032 E847060:E847068 E847096:E847104 E847132:E847140 E847168:E847176 E847204:E847212 E847240:E847248 E847276:E847284 E847312:E847320 E847348:E847356 E847384:E847392 E847420:E847428 E847456:E847464 E847492:E847500 E847528:E847536 E847564:E847572 E847600:E847608 E847636:E847644 E847672:E847680 E847708:E847716 E847744:E847752 E847780:E847788 E847816:E847824 E847852:E847860 E847888:E847896 E847924:E847932 E847960:E847968 E847996:E848004 E848032:E848040 E848068:E848076 E848104:E848112 E848140:E848148 E848176:E848184 E848212:E848220 E848248:E848256 E848284:E848292 E848320:E848328 E848356:E848364 E848392:E848400 E848428:E848436 E848464:E848472 E848500:E848508 E848536:E848544 E848572:E848580 E848608:E848616 E848644:E848652 E848680:E848688 E848716:E848724 E848752:E848760 E848788:E848796 E848824:E848832 E848860:E848868 E848896:E848904 E848932:E848940 E848968:E848976 E849004:E849012 E849040:E849048 E849076:E849084 E849112:E849120 E849148:E849156 E849184:E849192 E849220:E849228 E849256:E849264 E849292:E849300 E849328:E849336 E849364:E849372 E849400:E849408 E849436:E849444 E849472:E849480 E849508:E849516 E849544:E849552 E849580:E849588 E849616:E849624 E849652:E849660 E849688:E849696 E849724:E849732 E849760:E849768 E849796:E849804 E849832:E849840 E849868:E849876 E849904:E849912 E849940:E849948 E849976:E849984 E850012:E850020 E850048:E850056 E850084:E850092 E850120:E850128 E850156:E850164 E850192:E850200 E850228:E850236 E850264:E850272 E850300:E850308 E850336:E850344 E850372:E850380 E850408:E850416 E850444:E850452 E850480:E850488 E850516:E850524 E850552:E850560 E850588:E850596 E850624:E850632 E850660:E850668 E850696:E850704 E850732:E850740 E850768:E850776 E850804:E850812 E850840:E850848 E850876:E850884 E850912:E850920 E850948:E850956 E850984:E850992 E851020:E851028 E851056:E851064 E851092:E851100 E851128:E851136 E851164:E851172 E851200:E851208 E851236:E851244 E851272:E851280 E851308:E851316 E851344:E851352 E851380:E851388 E851416:E851424 E851452:E851460 E851488:E851496 E851524:E851532 E851560:E851568 E851596:E851604 E851632:E851640 E851668:E851676 E851704:E851712 E851740:E851748 E851776:E851784 E851812:E851820 E851848:E851856 E851884:E851892 E851920:E851928 E851956:E851964 E851992:E852000 E852028:E852036 E852064:E852072 E852100:E852108 E852136:E852144 E852172:E852180 E852208:E852216 E852244:E852252 E852280:E852288 E852316:E852324 E852352:E852360 E852388:E852396 E852424:E852432 E852460:E852468 E852496:E852504 E852532:E852540 E852568:E852576 E852604:E852612 E852640:E852648 E852676:E852684 E852712:E852720 E852748:E852756 E852784:E852792 E852820:E852828 E852856:E852864 E852892:E852900 E852928:E852936 E852964:E852972 E853000:E853008 E853036:E853044 E853072:E853080 E853108:E853116 E853144:E853152 E853180:E853188 E853216:E853224 E853252:E853260 E853288:E853296 E853324:E853332 E853360:E853368 E853396:E853404 E853432:E853440 E853468:E853476 E853504:E853512 E853540:E853548 E853576:E853584 E853612:E853620 E853648:E853656 E853684:E853692 E853720:E853728 E853756:E853764 E853792:E853800 E853828:E853836 E853864:E853872 E853900:E853908 E853936:E853944 E853972:E853980 E854008:E854016 E854044:E854052 E854080:E854088 E854116:E854124 E854152:E854160 E854188:E854196 E854224:E854232 E854260:E854268 E854296:E854304 E854332:E854340 E854368:E854376 E854404:E854412 E854440:E854448 E854476:E854484 E854512:E854520 E854548:E854556 E854584:E854592 E854620:E854628 E854656:E854664 E854692:E854700 E854728:E854736 E854764:E854772 E854800:E854808 E854836:E854844 E854872:E854880 E854908:E854916 E854944:E854952 E854980:E854988 E855016:E855024 E855052:E855060 E855088:E855096 E855124:E855132 E855160:E855168 E855196:E855204 E855232:E855240 E855268:E855276 E855304:E855312 E855340:E855348 E855376:E855384 E855412:E855420 E855448:E855456 E855484:E855492 E855520:E855528 E855556:E855564 E855592:E855600 E855628:E855636 E855664:E855672 E855700:E855708 E855736:E855744 E855772:E855780 E855808:E855816 E855844:E855852 E855880:E855888 E855916:E855924 E855952:E855960 E855988:E855996 E856024:E856032 E856060:E856068 E856096:E856104 E856132:E856140 E856168:E856176 E856204:E856212 E856240:E856248 E856276:E856284 E856312:E856320 E856348:E856356 E856384:E856392 E856420:E856428 E856456:E856464 E856492:E856500 E856528:E856536 E856564:E856572 E856600:E856608 E856636:E856644 E856672:E856680 E856708:E856716 E856744:E856752 E856780:E856788 E856816:E856824 E856852:E856860 E856888:E856896 E856924:E856932 E856960:E856968 E856996:E857004 E857032:E857040 E857068:E857076 E857104:E857112 E857140:E857148 E857176:E857184 E857212:E857220 E857248:E857256 E857284:E857292 E857320:E857328 E857356:E857364 E857392:E857400 E857428:E857436 E857464:E857472 E857500:E857508 E857536:E857544 E857572:E857580 E857608:E857616 E857644:E857652 E857680:E857688 E857716:E857724 E857752:E857760 E857788:E857796 E857824:E857832 E857860:E857868 E857896:E857904 E857932:E857940 E857968:E857976 E858004:E858012 E858040:E858048 E858076:E858084 E858112:E858120 E858148:E858156 E858184:E858192 E858220:E858228 E858256:E858264 E858292:E858300 E858328:E858336 E858364:E858372 E858400:E858408 E858436:E858444 E858472:E858480 E858508:E858516 E858544:E858552 E858580:E858588 E858616:E858624 E858652:E858660 E858688:E858696 E858724:E858732 E858760:E858768 E858796:E858804 E858832:E858840 E858868:E858876 E858904:E858912 E858940:E858948 E858976:E858984 E859012:E859020 E859048:E859056 E859084:E859092 E859120:E859128 E859156:E859164 E859192:E859200 E859228:E859236 E859264:E859272 E859300:E859308 E859336:E859344 E859372:E859380 E859408:E859416 E859444:E859452 E859480:E859488 E859516:E859524 E859552:E859560 E859588:E859596 E859624:E859632 E859660:E859668 E859696:E859704 E859732:E859740 E859768:E859776 E859804:E859812 E859840:E859848 E859876:E859884 E859912:E859920 E859948:E859956 E859984:E859992 E860020:E860028 E860056:E860064 E860092:E860100 E860128:E860136 E860164:E860172 E860200:E860208 E860236:E860244 E860272:E860280 E860308:E860316 E860344:E860352 E860380:E860388 E860416:E860424 E860452:E860460 E860488:E860496 E860524:E860532 E860560:E860568 E860596:E860604 E860632:E860640 E860668:E860676 E860704:E860712 E860740:E860748 E860776:E860784 E860812:E860820 E860848:E860856 E860884:E860892 E860920:E860928 E860956:E860964 E860992:E861000 E861028:E861036 E861064:E861072 E861100:E861108 E861136:E861144 E861172:E861180 E861208:E861216 E861244:E861252 E861280:E861288 E861316:E861324 E861352:E861360 E861388:E861396 E861424:E861432 E861460:E861468 E861496:E861504 E861532:E861540 E861568:E861576 E861604:E861612 E861640:E861648 E861676:E861684 E861712:E861720 E861748:E861756 E861784:E861792 E861820:E861828 E861856:E861864 E861892:E861900 E861928:E861936 E861964:E861972 E862000:E862008 E862036:E862044 E862072:E862080 E862108:E862116 E862144:E862152 E862180:E862188 E862216:E862224 E862252:E862260 E862288:E862296 E862324:E862332 E862360:E862368 E862396:E862404 E862432:E862440 E862468:E862476 E862504:E862512 E862540:E862548 E862576:E862584 E862612:E862620 E862648:E862656 E862684:E862692 E862720:E862728 E862756:E862764 E862792:E862800 E862828:E862836 E862864:E862872 E862900:E862908 E862936:E862944 E862972:E862980 E863008:E863016 E863044:E863052 E863080:E863088 E863116:E863124 E863152:E863160 E863188:E863196 E863224:E863232 E863260:E863268 E863296:E863304 E863332:E863340 E863368:E863376 E863404:E863412 E863440:E863448 E863476:E863484 E863512:E863520 E863548:E863556 E863584:E863592 E863620:E863628 E863656:E863664 E863692:E863700 E863728:E863736 E863764:E863772 E863800:E863808 E863836:E863844 E863872:E863880 E863908:E863916 E863944:E863952 E863980:E863988 E864016:E864024 E864052:E864060 E864088:E864096 E864124:E864132 E864160:E864168 E864196:E864204 E864232:E864240 E864268:E864276 E864304:E864312 E864340:E864348 E864376:E864384 E864412:E864420 E864448:E864456 E864484:E864492 E864520:E864528 E864556:E864564 E864592:E864600 E864628:E864636 E864664:E864672 E864700:E864708 E864736:E864744 E864772:E864780 E864808:E864816 E864844:E864852 E864880:E864888 E864916:E864924 E864952:E864960 E864988:E864996 E865024:E865032 E865060:E865068 E865096:E865104 E865132:E865140 E865168:E865176 E865204:E865212 E865240:E865248 E865276:E865284 E865312:E865320 E865348:E865356 E865384:E865392 E865420:E865428 E865456:E865464 E865492:E865500 E865528:E865536 E865564:E865572 E865600:E865608 E865636:E865644 E865672:E865680 E865708:E865716 E865744:E865752 E865780:E865788 E865816:E865824 E865852:E865860 E865888:E865896 E865924:E865932 E865960:E865968 E865996:E866004 E866032:E866040 E866068:E866076 E866104:E866112 E866140:E866148 E866176:E866184 E866212:E866220 E866248:E866256 E866284:E866292 E866320:E866328 E866356:E866364 E866392:E866400 E866428:E866436 E866464:E866472 E866500:E866508 E866536:E866544 E866572:E866580 E866608:E866616 E866644:E866652 E866680:E866688 E866716:E866724 E866752:E866760 E866788:E866796 E866824:E866832 E866860:E866868 E866896:E866904 E866932:E866940 E866968:E866976 E867004:E867012 E867040:E867048 E867076:E867084 E867112:E867120 E867148:E867156 E867184:E867192 E867220:E867228 E867256:E867264 E867292:E867300 E867328:E867336 E867364:E867372 E867400:E867408 E867436:E867444 E867472:E867480 E867508:E867516 E867544:E867552 E867580:E867588 E867616:E867624 E867652:E867660 E867688:E867696 E867724:E867732 E867760:E867768 E867796:E867804 E867832:E867840 E867868:E867876 E867904:E867912 E867940:E867948 E867976:E867984 E868012:E868020 E868048:E868056 E868084:E868092 E868120:E868128 E868156:E868164 E868192:E868200 E868228:E868236 E868264:E868272 E868300:E868308 E868336:E868344 E868372:E868380 E868408:E868416 E868444:E868452 E868480:E868488 E868516:E868524 E868552:E868560 E868588:E868596 E868624:E868632 E868660:E868668 E868696:E868704 E868732:E868740 E868768:E868776 E868804:E868812 E868840:E868848 E868876:E868884 E868912:E868920 E868948:E868956 E868984:E868992 E869020:E869028 E869056:E869064 E869092:E869100 E869128:E869136 E869164:E869172 E869200:E869208 E869236:E869244 E869272:E869280 E869308:E869316 E869344:E869352 E869380:E869388 E869416:E869424 E869452:E869460 E869488:E869496 E869524:E869532 E869560:E869568 E869596:E869604 E869632:E869640 E869668:E869676 E869704:E869712 E869740:E869748 E869776:E869784 E869812:E869820 E869848:E869856 E869884:E869892 E869920:E869928 E869956:E869964 E869992:E870000 E870028:E870036 E870064:E870072 E870100:E870108 E870136:E870144 E870172:E870180 E870208:E870216 E870244:E870252 E870280:E870288 E870316:E870324 E870352:E870360 E870388:E870396 E870424:E870432 E870460:E870468 E870496:E870504 E870532:E870540 E870568:E870576 E870604:E870612 E870640:E870648 E870676:E870684 E870712:E870720 E870748:E870756 E870784:E870792 E870820:E870828 E870856:E870864 E870892:E870900 E870928:E870936 E870964:E870972 E871000:E871008 E871036:E871044 E871072:E871080 E871108:E871116 E871144:E871152 E871180:E871188 E871216:E871224 E871252:E871260 E871288:E871296 E871324:E871332 E871360:E871368 E871396:E871404 E871432:E871440 E871468:E871476 E871504:E871512 E871540:E871548 E871576:E871584 E871612:E871620 E871648:E871656 E871684:E871692 E871720:E871728 E871756:E871764 E871792:E871800 E871828:E871836 E871864:E871872 E871900:E871908 E871936:E871944 E871972:E871980 E872008:E872016 E872044:E872052 E872080:E872088 E872116:E872124 E872152:E872160 E872188:E872196 E872224:E872232 E872260:E872268 E872296:E872304 E872332:E872340 E872368:E872376 E872404:E872412 E872440:E872448 E872476:E872484 E872512:E872520 E872548:E872556 E872584:E872592 E872620:E872628 E872656:E872664 E872692:E872700 E872728:E872736 E872764:E872772 E872800:E872808 E872836:E872844 E872872:E872880 E872908:E872916 E872944:E872952 E872980:E872988 E873016:E873024 E873052:E873060 E873088:E873096 E873124:E873132 E873160:E873168 E873196:E873204 E873232:E873240 E873268:E873276 E873304:E873312 E873340:E873348 E873376:E873384 E873412:E873420 E873448:E873456 E873484:E873492 E873520:E873528 E873556:E873564 E873592:E873600 E873628:E873636 E873664:E873672 E873700:E873708 E873736:E873744 E873772:E873780 E873808:E873816 E873844:E873852 E873880:E873888 E873916:E873924 E873952:E873960 E873988:E873996 E874024:E874032 E874060:E874068 E874096:E874104 E874132:E874140 E874168:E874176 E874204:E874212 E874240:E874248 E874276:E874284 E874312:E874320 E874348:E874356 E874384:E874392 E874420:E874428 E874456:E874464 E874492:E874500 E874528:E874536 E874564:E874572 E874600:E874608 E874636:E874644 E874672:E874680 E874708:E874716 E874744:E874752 E874780:E874788 E874816:E874824 E874852:E874860 E874888:E874896 E874924:E874932 E874960:E874968 E874996:E875004 E875032:E875040 E875068:E875076 E875104:E875112 E875140:E875148 E875176:E875184 E875212:E875220 E875248:E875256 E875284:E875292 E875320:E875328 E875356:E875364 E875392:E875400 E875428:E875436 E875464:E875472 E875500:E875508 E875536:E875544 E875572:E875580 E875608:E875616 E875644:E875652 E875680:E875688 E875716:E875724 E875752:E875760 E875788:E875796 E875824:E875832 E875860:E875868 E875896:E875904 E875932:E875940 E875968:E875976 E876004:E876012 E876040:E876048 E876076:E876084 E876112:E876120 E876148:E876156 E876184:E876192 E876220:E876228 E876256:E876264 E876292:E876300 E876328:E876336 E876364:E876372 E876400:E876408 E876436:E876444 E876472:E876480 E876508:E876516 E876544:E876552 E876580:E876588 E876616:E876624 E876652:E876660 E876688:E876696 E876724:E876732 E876760:E876768 E876796:E876804 E876832:E876840 E876868:E876876 E876904:E876912 E876940:E876948 E876976:E876984 E877012:E877020 E877048:E877056 E877084:E877092 E877120:E877128 E877156:E877164 E877192:E877200 E877228:E877236 E877264:E877272 E877300:E877308 E877336:E877344 E877372:E877380 E877408:E877416 E877444:E877452 E877480:E877488 E877516:E877524 E877552:E877560 E877588:E877596 E877624:E877632 E877660:E877668 E877696:E877704 E877732:E877740 E877768:E877776 E877804:E877812 E877840:E877848 E877876:E877884 E877912:E877920 E877948:E877956 E877984:E877992 E878020:E878028 E878056:E878064 E878092:E878100 E878128:E878136 E878164:E878172 E878200:E878208 E878236:E878244 E878272:E878280 E878308:E878316 E878344:E878352 E878380:E878388 E878416:E878424 E878452:E878460 E878488:E878496 E878524:E878532 E878560:E878568 E878596:E878604 E878632:E878640 E878668:E878676 E878704:E878712 E878740:E878748 E878776:E878784 E878812:E878820 E878848:E878856 E878884:E878892 E878920:E878928 E878956:E878964 E878992:E879000 E879028:E879036 E879064:E879072 E879100:E879108 E879136:E879144 E879172:E879180 E879208:E879216 E879244:E879252 E879280:E879288 E879316:E879324 E879352:E879360 E879388:E879396 E879424:E879432 E879460:E879468 E879496:E879504 E879532:E879540 E879568:E879576 E879604:E879612 E879640:E879648 E879676:E879684 E879712:E879720 E879748:E879756 E879784:E879792 E879820:E879828 E879856:E879864 E879892:E879900 E879928:E879936 E879964:E879972 E880000:E880008 E880036:E880044 E880072:E880080 E880108:E880116 E880144:E880152 E880180:E880188 E880216:E880224 E880252:E880260 E880288:E880296 E880324:E880332 E880360:E880368 E880396:E880404 E880432:E880440 E880468:E880476 E880504:E880512 E880540:E880548 E880576:E880584 E880612:E880620 E880648:E880656 E880684:E880692 E880720:E880728 E880756:E880764 E880792:E880800 E880828:E880836 E880864:E880872 E880900:E880908 E880936:E880944 E880972:E880980 E881008:E881016 E881044:E881052 E881080:E881088 E881116:E881124 E881152:E881160 E881188:E881196 E881224:E881232 E881260:E881268 E881296:E881304 E881332:E881340 E881368:E881376 E881404:E881412 E881440:E881448 E881476:E881484 E881512:E881520 E881548:E881556 E881584:E881592 E881620:E881628 E881656:E881664 E881692:E881700 E881728:E881736 E881764:E881772 E881800:E881808 E881836:E881844 E881872:E881880 E881908:E881916 E881944:E881952 E881980:E881988 E882016:E882024 E882052:E882060 E882088:E882096 E882124:E882132 E882160:E882168 E882196:E882204 E882232:E882240 E882268:E882276 E882304:E882312 E882340:E882348 E882376:E882384 E882412:E882420 E882448:E882456 E882484:E882492 E882520:E882528 E882556:E882564 E882592:E882600 E882628:E882636 E882664:E882672 E882700:E882708 E882736:E882744 E882772:E882780 E882808:E882816 E882844:E882852 E882880:E882888 E882916:E882924 E882952:E882960 E882988:E882996 E883024:E883032 E883060:E883068 E883096:E883104 E883132:E883140 E883168:E883176 E883204:E883212 E883240:E883248 E883276:E883284 E883312:E883320 E883348:E883356 E883384:E883392 E883420:E883428 E883456:E883464 E883492:E883500 E883528:E883536 E883564:E883572 E883600:E883608 E883636:E883644 E883672:E883680 E883708:E883716 E883744:E883752 E883780:E883788 E883816:E883824 E883852:E883860 E883888:E883896 E883924:E883932 E883960:E883968 E883996:E884004 E884032:E884040 E884068:E884076 E884104:E884112 E884140:E884148 E884176:E884184 E884212:E884220 E884248:E884256 E884284:E884292 E884320:E884328 E884356:E884364 E884392:E884400 E884428:E884436 E884464:E884472 E884500:E884508 E884536:E884544 E884572:E884580 E884608:E884616 E884644:E884652 E884680:E884688 E884716:E884724 E884752:E884760 E884788:E884796 E884824:E884832 E884860:E884868 E884896:E884904 E884932:E884940 E884968:E884976 E885004:E885012 E885040:E885048 E885076:E885084 E885112:E885120 E885148:E885156 E885184:E885192 E885220:E885228 E885256:E885264 E885292:E885300 E885328:E885336 E885364:E885372 E885400:E885408 E885436:E885444 E885472:E885480 E885508:E885516 E885544:E885552 E885580:E885588 E885616:E885624 E885652:E885660 E885688:E885696 E885724:E885732 E885760:E885768 E885796:E885804 E885832:E885840 E885868:E885876 E885904:E885912 E885940:E885948 E885976:E885984 E886012:E886020 E886048:E886056 E886084:E886092 E886120:E886128 E886156:E886164 E886192:E886200 E886228:E886236 E886264:E886272 E886300:E886308 E886336:E886344 E886372:E886380 E886408:E886416 E886444:E886452 E886480:E886488 E886516:E886524 E886552:E886560 E886588:E886596 E886624:E886632 E886660:E886668 E886696:E886704 E886732:E886740 E886768:E886776 E886804:E886812 E886840:E886848 E886876:E886884 E886912:E886920 E886948:E886956 E886984:E886992 E887020:E887028 E887056:E887064 E887092:E887100 E887128:E887136 E887164:E887172 E887200:E887208 E887236:E887244 E887272:E887280 E887308:E887316 E887344:E887352 E887380:E887388 E887416:E887424 E887452:E887460 E887488:E887496 E887524:E887532 E887560:E887568 E887596:E887604 E887632:E887640 E887668:E887676 E887704:E887712 E887740:E887748 E887776:E887784 E887812:E887820 E887848:E887856 E887884:E887892 E887920:E887928 E887956:E887964 E887992:E888000 E888028:E888036 E888064:E888072 E888100:E888108 E888136:E888144 E888172:E888180 E888208:E888216 E888244:E888252 E888280:E888288 E888316:E888324 E888352:E888360 E888388:E888396 E888424:E888432 E888460:E888468 E888496:E888504 E888532:E888540 E888568:E888576 E888604:E888612 E888640:E888648 E888676:E888684 E888712:E888720 E888748:E888756 E888784:E888792 E888820:E888828 E888856:E888864 E888892:E888900 E888928:E888936 E888964:E888972 E889000:E889008 E889036:E889044 E889072:E889080 E889108:E889116 E889144:E889152 E889180:E889188 E889216:E889224 E889252:E889260 E889288:E889296 E889324:E889332 E889360:E889368 E889396:E889404 E889432:E889440 E889468:E889476 E889504:E889512 E889540:E889548 E889576:E889584 E889612:E889620 E889648:E889656 E889684:E889692 E889720:E889728 E889756:E889764 E889792:E889800 E889828:E889836 E889864:E889872 E889900:E889908 E889936:E889944 E889972:E889980 E890008:E890016 E890044:E890052 E890080:E890088 E890116:E890124 E890152:E890160 E890188:E890196 E890224:E890232 E890260:E890268 E890296:E890304 E890332:E890340 E890368:E890376 E890404:E890412 E890440:E890448 E890476:E890484 E890512:E890520 E890548:E890556 E890584:E890592 E890620:E890628 E890656:E890664 E890692:E890700 E890728:E890736 E890764:E890772 E890800:E890808 E890836:E890844 E890872:E890880 E890908:E890916 E890944:E890952 E890980:E890988 E891016:E891024 E891052:E891060 E891088:E891096 E891124:E891132 E891160:E891168 E891196:E891204 E891232:E891240 E891268:E891276 E891304:E891312 E891340:E891348 E891376:E891384 E891412:E891420 E891448:E891456 E891484:E891492 E891520:E891528 E891556:E891564 E891592:E891600 E891628:E891636 E891664:E891672 E891700:E891708 E891736:E891744 E891772:E891780 E891808:E891816 E891844:E891852 E891880:E891888 E891916:E891924 E891952:E891960 E891988:E891996 E892024:E892032 E892060:E892068 E892096:E892104 E892132:E892140 E892168:E892176 E892204:E892212 E892240:E892248 E892276:E892284 E892312:E892320 E892348:E892356 E892384:E892392 E892420:E892428 E892456:E892464 E892492:E892500 E892528:E892536 E892564:E892572 E892600:E892608 E892636:E892644 E892672:E892680 E892708:E892716 E892744:E892752 E892780:E892788 E892816:E892824 E892852:E892860 E892888:E892896 E892924:E892932 E892960:E892968 E892996:E893004 E893032:E893040 E893068:E893076 E893104:E893112 E893140:E893148 E893176:E893184 E893212:E893220 E893248:E893256 E893284:E893292 E893320:E893328 E893356:E893364 E893392:E893400 E893428:E893436 E893464:E893472 E893500:E893508 E893536:E893544 E893572:E893580 E893608:E893616 E893644:E893652 E893680:E893688 E893716:E893724 E893752:E893760 E893788:E893796 E893824:E893832 E893860:E893868 E893896:E893904 E893932:E893940 E893968:E893976 E894004:E894012 E894040:E894048 E894076:E894084 E894112:E894120 E894148:E894156 E894184:E894192 E894220:E894228 E894256:E894264 E894292:E894300 E894328:E894336 E894364:E894372 E894400:E894408 E894436:E894444 E894472:E894480 E894508:E894516 E894544:E894552 E894580:E894588 E894616:E894624 E894652:E894660 E894688:E894696 E894724:E894732 E894760:E894768 E894796:E894804 E894832:E894840 E894868:E894876 E894904:E894912 E894940:E894948 E894976:E894984 E895012:E895020 E895048:E895056 E895084:E895092 E895120:E895128 E895156:E895164 E895192:E895200 E895228:E895236 E895264:E895272 E895300:E895308 E895336:E895344 E895372:E895380 E895408:E895416 E895444:E895452 E895480:E895488 E895516:E895524 E895552:E895560 E895588:E895596 E895624:E895632 E895660:E895668 E895696:E895704 E895732:E895740 E895768:E895776 E895804:E895812 E895840:E895848 E895876:E895884 E895912:E895920 E895948:E895956 E895984:E895992 E896020:E896028 E896056:E896064 E896092:E896100 E896128:E896136 E896164:E896172 E896200:E896208 E896236:E896244 E896272:E896280 E896308:E896316 E896344:E896352 E896380:E896388 E896416:E896424 E896452:E896460 E896488:E896496 E896524:E896532 E896560:E896568 E896596:E896604 E896632:E896640 E896668:E896676 E896704:E896712 E896740:E896748 E896776:E896784 E896812:E896820 E896848:E896856 E896884:E896892 E896920:E896928 E896956:E896964 E896992:E897000 E897028:E897036 E897064:E897072 E897100:E897108 E897136:E897144 E897172:E897180 E897208:E897216 E897244:E897252 E897280:E897288 E897316:E897324 E897352:E897360 E897388:E897396 E897424:E897432 E897460:E897468 E897496:E897504 E897532:E897540 E897568:E897576 E897604:E897612 E897640:E897648 E897676:E897684 E897712:E897720 E897748:E897756 E897784:E897792 E897820:E897828 E897856:E897864 E897892:E897900 E897928:E897936 E897964:E897972 E898000:E898008 E898036:E898044 E898072:E898080 E898108:E898116 E898144:E898152 E898180:E898188 E898216:E898224 E898252:E898260 E898288:E898296 E898324:E898332 E898360:E898368 E898396:E898404 E898432:E898440 E898468:E898476 E898504:E898512 E898540:E898548 E898576:E898584 E898612:E898620 E898648:E898656 E898684:E898692 E898720:E898728 E898756:E898764 E898792:E898800 E898828:E898836 E898864:E898872 E898900:E898908 E898936:E898944 E898972:E898980 E899008:E899016 E899044:E899052 E899080:E899088 E899116:E899124 E899152:E899160 E899188:E899196 E899224:E899232 E899260:E899268 E899296:E899304 E899332:E899340 E899368:E899376 E899404:E899412 E899440:E899448 E899476:E899484 E899512:E899520 E899548:E899556 E899584:E899592 E899620:E899628 E899656:E899664 E899692:E899700 E899728:E899736 E899764:E899772 E899800:E899808 E899836:E899844 E899872:E899880 E899908:E899916 E899944:E899952 E899980:E899988 E900016:E900024 E900052:E900060 E900088:E900096 E900124:E900132 E900160:E900168 E900196:E900204 E900232:E900240 E900268:E900276 E900304:E900312 E900340:E900348 E900376:E900384 E900412:E900420 E900448:E900456 E900484:E900492 E900520:E900528 E900556:E900564 E900592:E900600 E900628:E900636 E900664:E900672 E900700:E900708 E900736:E900744 E900772:E900780 E900808:E900816 E900844:E900852 E900880:E900888 E900916:E900924 E900952:E900960 E900988:E900996 E901024:E901032 E901060:E901068 E901096:E901104 E901132:E901140 E901168:E901176 E901204:E901212 E901240:E901248 E901276:E901284 E901312:E901320 E901348:E901356 E901384:E901392 E901420:E901428 E901456:E901464 E901492:E901500 E901528:E901536 E901564:E901572 E901600:E901608 E901636:E901644 E901672:E901680 E901708:E901716 E901744:E901752 E901780:E901788 E901816:E901824 E901852:E901860 E901888:E901896 E901924:E901932 E901960:E901968 E901996:E902004 E902032:E902040 E902068:E902076 E902104:E902112 E902140:E902148 E902176:E902184 E902212:E902220 E902248:E902256 E902284:E902292 E902320:E902328 E902356:E902364 E902392:E902400 E902428:E902436 E902464:E902472 E902500:E902508 E902536:E902544 E902572:E902580 E902608:E902616 E902644:E902652 E902680:E902688 E902716:E902724 E902752:E902760 E902788:E902796 E902824:E902832 E902860:E902868 E902896:E902904 E902932:E902940 E902968:E902976 E903004:E903012 E903040:E903048 E903076:E903084 E903112:E903120 E903148:E903156 E903184:E903192 E903220:E903228 E903256:E903264 E903292:E903300 E903328:E903336 E903364:E903372 E903400:E903408 E903436:E903444 E903472:E903480 E903508:E903516 E903544:E903552 E903580:E903588 E903616:E903624 E903652:E903660 E903688:E903696 E903724:E903732 E903760:E903768 E903796:E903804 E903832:E903840 E903868:E903876 E903904:E903912 E903940:E903948 E903976:E903984 E904012:E904020 E904048:E904056 E904084:E904092 E904120:E904128 E904156:E904164 E904192:E904200 E904228:E904236 E904264:E904272 E904300:E904308 E904336:E904344 E904372:E904380 E904408:E904416 E904444:E904452 E904480:E904488 E904516:E904524 E904552:E904560 E904588:E904596 E904624:E904632 E904660:E904668 E904696:E904704 E904732:E904740 E904768:E904776 E904804:E904812 E904840:E904848 E904876:E904884 E904912:E904920 E904948:E904956 E904984:E904992 E905020:E905028 E905056:E905064 E905092:E905100 E905128:E905136 E905164:E905172 E905200:E905208 E905236:E905244 E905272:E905280 E905308:E905316 E905344:E905352 E905380:E905388 E905416:E905424 E905452:E905460 E905488:E905496 E905524:E905532 E905560:E905568 E905596:E905604 E905632:E905640 E905668:E905676 E905704:E905712 E905740:E905748 E905776:E905784 E905812:E905820 E905848:E905856 E905884:E905892 E905920:E905928 E905956:E905964 E905992:E906000 E906028:E906036 E906064:E906072 E906100:E906108 E906136:E906144 E906172:E906180 E906208:E906216 E906244:E906252 E906280:E906288 E906316:E906324 E906352:E906360 E906388:E906396 E906424:E906432 E906460:E906468 E906496:E906504 E906532:E906540 E906568:E906576 E906604:E906612 E906640:E906648 E906676:E906684 E906712:E906720 E906748:E906756 E906784:E906792 E906820:E906828 E906856:E906864 E906892:E906900 E906928:E906936 E906964:E906972 E907000:E907008 E907036:E907044 E907072:E907080 E907108:E907116 E907144:E907152 E907180:E907188 E907216:E907224 E907252:E907260 E907288:E907296 E907324:E907332 E907360:E907368 E907396:E907404 E907432:E907440 E907468:E907476 E907504:E907512 E907540:E907548 E907576:E907584 E907612:E907620 E907648:E907656 E907684:E907692 E907720:E907728 E907756:E907764 E907792:E907800 E907828:E907836 E907864:E907872 E907900:E907908 E907936:E907944 E907972:E907980 E908008:E908016 E908044:E908052 E908080:E908088 E908116:E908124 E908152:E908160 E908188:E908196 E908224:E908232 E908260:E908268 E908296:E908304 E908332:E908340 E908368:E908376 E908404:E908412 E908440:E908448 E908476:E908484 E908512:E908520 E908548:E908556 E908584:E908592 E908620:E908628 E908656:E908664 E908692:E908700 E908728:E908736 E908764:E908772 E908800:E908808 E908836:E908844 E908872:E908880 E908908:E908916 E908944:E908952 E908980:E908988 E909016:E909024 E909052:E909060 E909088:E909096 E909124:E909132 E909160:E909168 E909196:E909204 E909232:E909240 E909268:E909276 E909304:E909312 E909340:E909348 E909376:E909384 E909412:E909420 E909448:E909456 E909484:E909492 E909520:E909528 E909556:E909564 E909592:E909600 E909628:E909636 E909664:E909672 E909700:E909708 E909736:E909744 E909772:E909780 E909808:E909816 E909844:E909852 E909880:E909888 E909916:E909924 E909952:E909960 E909988:E909996 E910024:E910032 E910060:E910068 E910096:E910104 E910132:E910140 E910168:E910176 E910204:E910212 E910240:E910248 E910276:E910284 E910312:E910320 E910348:E910356 E910384:E910392 E910420:E910428 E910456:E910464 E910492:E910500 E910528:E910536 E910564:E910572 E910600:E910608 E910636:E910644 E910672:E910680 E910708:E910716 E910744:E910752 E910780:E910788 E910816:E910824 E910852:E910860 E910888:E910896 E910924:E910932 E910960:E910968 E910996:E911004 E911032:E911040 E911068:E911076 E911104:E911112 E911140:E911148 E911176:E911184 E911212:E911220 E911248:E911256 E911284:E911292 E911320:E911328 E911356:E911364 E911392:E911400 E911428:E911436 E911464:E911472 E911500:E911508 E911536:E911544 E911572:E911580 E911608:E911616 E911644:E911652 E911680:E911688 E911716:E911724 E911752:E911760 E911788:E911796 E911824:E911832 E911860:E911868 E911896:E911904 E911932:E911940 E911968:E911976 E912004:E912012 E912040:E912048 E912076:E912084 E912112:E912120 E912148:E912156 E912184:E912192 E912220:E912228 E912256:E912264 E912292:E912300 E912328:E912336 E912364:E912372 E912400:E912408 E912436:E912444 E912472:E912480 E912508:E912516 E912544:E912552 E912580:E912588 E912616:E912624 E912652:E912660 E912688:E912696 E912724:E912732 E912760:E912768 E912796:E912804 E912832:E912840 E912868:E912876 E912904:E912912 E912940:E912948 E912976:E912984 E913012:E913020 E913048:E913056 E913084:E913092 E913120:E913128 E913156:E913164 E913192:E913200 E913228:E913236 E913264:E913272 E913300:E913308 E913336:E913344 E913372:E913380 E913408:E913416 E913444:E913452 E913480:E913488 E913516:E913524 E913552:E913560 E913588:E913596 E913624:E913632 E913660:E913668 E913696:E913704 E913732:E913740 E913768:E913776 E913804:E913812 E913840:E913848 E913876:E913884 E913912:E913920 E913948:E913956 E913984:E913992 E914020:E914028 E914056:E914064 E914092:E914100 E914128:E914136 E914164:E914172 E914200:E914208 E914236:E914244 E914272:E914280 E914308:E914316 E914344:E914352 E914380:E914388 E914416:E914424 E914452:E914460 E914488:E914496 E914524:E914532 E914560:E914568 E914596:E914604 E914632:E914640 E914668:E914676 E914704:E914712 E914740:E914748 E914776:E914784 E914812:E914820 E914848:E914856 E914884:E914892 E914920:E914928 E914956:E914964 E914992:E915000 E915028:E915036 E915064:E915072 E915100:E915108 E915136:E915144 E915172:E915180 E915208:E915216 E915244:E915252 E915280:E915288 E915316:E915324 E915352:E915360 E915388:E915396 E915424:E915432 E915460:E915468 E915496:E915504 E915532:E915540 E915568:E915576 E915604:E915612 E915640:E915648 E915676:E915684 E915712:E915720 E915748:E915756 E915784:E915792 E915820:E915828 E915856:E915864 E915892:E915900 E915928:E915936 E915964:E915972 E916000:E916008 E916036:E916044 E916072:E916080 E916108:E916116 E916144:E916152 E916180:E916188 E916216:E916224 E916252:E916260 E916288:E916296 E916324:E916332 E916360:E916368 E916396:E916404 E916432:E916440 E916468:E916476 E916504:E916512 E916540:E916548 E916576:E916584 E916612:E916620 E916648:E916656 E916684:E916692 E916720:E916728 E916756:E916764 E916792:E916800 E916828:E916836 E916864:E916872 E916900:E916908 E916936:E916944 E916972:E916980 E917008:E917016 E917044:E917052 E917080:E917088 E917116:E917124 E917152:E917160 E917188:E917196 E917224:E917232 E917260:E917268 E917296:E917304 E917332:E917340 E917368:E917376 E917404:E917412 E917440:E917448 E917476:E917484 E917512:E917520 E917548:E917556 E917584:E917592 E917620:E917628 E917656:E917664 E917692:E917700 E917728:E917736 E917764:E917772 E917800:E917808 E917836:E917844 E917872:E917880 E917908:E917916 E917944:E917952 E917980:E917988 E918016:E918024 E918052:E918060 E918088:E918096 E918124:E918132 E918160:E918168 E918196:E918204 E918232:E918240 E918268:E918276 E918304:E918312 E918340:E918348 E918376:E918384 E918412:E918420 E918448:E918456 E918484:E918492 E918520:E918528 E918556:E918564 E918592:E918600 E918628:E918636 E918664:E918672 E918700:E918708 E918736:E918744 E918772:E918780 E918808:E918816 E918844:E918852 E918880:E918888 E918916:E918924 E918952:E918960 E918988:E918996 E919024:E919032 E919060:E919068 E919096:E919104 E919132:E919140 E919168:E919176 E919204:E919212 E919240:E919248 E919276:E919284 E919312:E919320 E919348:E919356 E919384:E919392 E919420:E919428 E919456:E919464 E919492:E919500 E919528:E919536 E919564:E919572 E919600:E919608 E919636:E919644 E919672:E919680 E919708:E919716 E919744:E919752 E919780:E919788 E919816:E919824 E919852:E919860 E919888:E919896 E919924:E919932 E919960:E919968 E919996:E920004 E920032:E920040 E920068:E920076 E920104:E920112 E920140:E920148 E920176:E920184 E920212:E920220 E920248:E920256 E920284:E920292 E920320:E920328 E920356:E920364 E920392:E920400 E920428:E920436 E920464:E920472 E920500:E920508 E920536:E920544 E920572:E920580 E920608:E920616 E920644:E920652 E920680:E920688 E920716:E920724 E920752:E920760 E920788:E920796 E920824:E920832 E920860:E920868 E920896:E920904 E920932:E920940 E920968:E920976 E921004:E921012 E921040:E921048 E921076:E921084 E921112:E921120 E921148:E921156 E921184:E921192 E921220:E921228 E921256:E921264 E921292:E921300 E921328:E921336 E921364:E921372 E921400:E921408 E921436:E921444 E921472:E921480 E921508:E921516 E921544:E921552 E921580:E921588 E921616:E921624 E921652:E921660 E921688:E921696 E921724:E921732 E921760:E921768 E921796:E921804 E921832:E921840 E921868:E921876 E921904:E921912 E921940:E921948 E921976:E921984 E922012:E922020 E922048:E922056 E922084:E922092 E922120:E922128 E922156:E922164 E922192:E922200 E922228:E922236 E922264:E922272 E922300:E922308 E922336:E922344 E922372:E922380 E922408:E922416 E922444:E922452 E922480:E922488 E922516:E922524 E922552:E922560 E922588:E922596 E922624:E922632 E922660:E922668 E922696:E922704 E922732:E922740 E922768:E922776 E922804:E922812 E922840:E922848 E922876:E922884 E922912:E922920 E922948:E922956 E922984:E922992 E923020:E923028 E923056:E923064 E923092:E923100 E923128:E923136 E923164:E923172 E923200:E923208 E923236:E923244 E923272:E923280 E923308:E923316 E923344:E923352 E923380:E923388 E923416:E923424 E923452:E923460 E923488:E923496 E923524:E923532 E923560:E923568 E923596:E923604 E923632:E923640 E923668:E923676 E923704:E923712 E923740:E923748 E923776:E923784 E923812:E923820 E923848:E923856 E923884:E923892 E923920:E923928 E923956:E923964 E923992:E924000 E924028:E924036 E924064:E924072 E924100:E924108 E924136:E924144 E924172:E924180 E924208:E924216 E924244:E924252 E924280:E924288 E924316:E924324 E924352:E924360 E924388:E924396 E924424:E924432 E924460:E924468 E924496:E924504 E924532:E924540 E924568:E924576 E924604:E924612 E924640:E924648 E924676:E924684 E924712:E924720 E924748:E924756 E924784:E924792 E924820:E924828 E924856:E924864 E924892:E924900 E924928:E924936 E924964:E924972 E925000:E925008 E925036:E925044 E925072:E925080 E925108:E925116 E925144:E925152 E925180:E925188 E925216:E925224 E925252:E925260 E925288:E925296 E925324:E925332 E925360:E925368 E925396:E925404 E925432:E925440 E925468:E925476 E925504:E925512 E925540:E925548 E925576:E925584 E925612:E925620 E925648:E925656 E925684:E925692 E925720:E925728 E925756:E925764 E925792:E925800 E925828:E925836 E925864:E925872 E925900:E925908 E925936:E925944 E925972:E925980 E926008:E926016 E926044:E926052 E926080:E926088 E926116:E926124 E926152:E926160 E926188:E926196 E926224:E926232 E926260:E926268 E926296:E926304 E926332:E926340 E926368:E926376 E926404:E926412 E926440:E926448 E926476:E926484 E926512:E926520 E926548:E926556 E926584:E926592 E926620:E926628 E926656:E926664 E926692:E926700 E926728:E926736 E926764:E926772 E926800:E926808 E926836:E926844 E926872:E926880 E926908:E926916 E926944:E926952 E926980:E926988 E927016:E927024 E927052:E927060 E927088:E927096 E927124:E927132 E927160:E927168 E927196:E927204 E927232:E927240 E927268:E927276 E927304:E927312 E927340:E927348 E927376:E927384 E927412:E927420 E927448:E927456 E927484:E927492 E927520:E927528 E927556:E927564 E927592:E927600 E927628:E927636 E927664:E927672 E927700:E927708 E927736:E927744 E927772:E927780 E927808:E927816 E927844:E927852 E927880:E927888 E927916:E927924 E927952:E927960 E927988:E927996 E928024:E928032 E928060:E928068 E928096:E928104 E928132:E928140 E928168:E928176 E928204:E928212 E928240:E928248 E928276:E928284 E928312:E928320 E928348:E928356 E928384:E928392 E928420:E928428 E928456:E928464 E928492:E928500 E928528:E928536 E928564:E928572 E928600:E928608 E928636:E928644 E928672:E928680 E928708:E928716 E928744:E928752 E928780:E928788 E928816:E928824 E928852:E928860 E928888:E928896 E928924:E928932 E928960:E928968 E928996:E929004 E929032:E929040 E929068:E929076 E929104:E929112 E929140:E929148 E929176:E929184 E929212:E929220 E929248:E929256 E929284:E929292 E929320:E929328 E929356:E929364 E929392:E929400 E929428:E929436 E929464:E929472 E929500:E929508 E929536:E929544 E929572:E929580 E929608:E929616 E929644:E929652 E929680:E929688 E929716:E929724 E929752:E929760 E929788:E929796 E929824:E929832 E929860:E929868 E929896:E929904 E929932:E929940 E929968:E929976 E930004:E930012 E930040:E930048 E930076:E930084 E930112:E930120 E930148:E930156 E930184:E930192 E930220:E930228 E930256:E930264 E930292:E930300 E930328:E930336 E930364:E930372 E930400:E930408 E930436:E930444 E930472:E930480 E930508:E930516 E930544:E930552 E930580:E930588 E930616:E930624 E930652:E930660 E930688:E930696 E930724:E930732 E930760:E930768 E930796:E930804 E930832:E930840 E930868:E930876 E930904:E930912 E930940:E930948 E930976:E930984 E931012:E931020 E931048:E931056 E931084:E931092 E931120:E931128 E931156:E931164 E931192:E931200 E931228:E931236 E931264:E931272 E931300:E931308 E931336:E931344 E931372:E931380 E931408:E931416 E931444:E931452 E931480:E931488 E931516:E931524 E931552:E931560 E931588:E931596 E931624:E931632 E931660:E931668 E931696:E931704 E931732:E931740 E931768:E931776 E931804:E931812 E931840:E931848 E931876:E931884 E931912:E931920 E931948:E931956 E931984:E931992 E932020:E932028 E932056:E932064 E932092:E932100 E932128:E932136 E932164:E932172 E932200:E932208 E932236:E932244 E932272:E932280 E932308:E932316 E932344:E932352 E932380:E932388 E932416:E932424 E932452:E932460 E932488:E932496 E932524:E932532 E932560:E932568 E932596:E932604 E932632:E932640 E932668:E932676 E932704:E932712 E932740:E932748 E932776:E932784 E932812:E932820 E932848:E932856 E932884:E932892 E932920:E932928 E932956:E932964 E932992:E933000 E933028:E933036 E933064:E933072 E933100:E933108 E933136:E933144 E933172:E933180 E933208:E933216 E933244:E933252 E933280:E933288 E933316:E933324 E933352:E933360 E933388:E933396 E933424:E933432 E933460:E933468 E933496:E933504 E933532:E933540 E933568:E933576 E933604:E933612 E933640:E933648 E933676:E933684 E933712:E933720 E933748:E933756 E933784:E933792 E933820:E933828 E933856:E933864 E933892:E933900 E933928:E933936 E933964:E933972 E934000:E934008 E934036:E934044 E934072:E934080 E934108:E934116 E934144:E934152 E934180:E934188 E934216:E934224 E934252:E934260 E934288:E934296 E934324:E934332 E934360:E934368 E934396:E934404 E934432:E934440 E934468:E934476 E934504:E934512 E934540:E934548 E934576:E934584 E934612:E934620 E934648:E934656 E934684:E934692 E934720:E934728 E934756:E934764 E934792:E934800 E934828:E934836 E934864:E934872 E934900:E934908 E934936:E934944 E934972:E934980 E935008:E935016 E935044:E935052 E935080:E935088 E935116:E935124 E935152:E935160 E935188:E935196 E935224:E935232 E935260:E935268 E935296:E935304 E935332:E935340 E935368:E935376 E935404:E935412 E935440:E935448 E935476:E935484 E935512:E935520 E935548:E935556 E935584:E935592 E935620:E935628 E935656:E935664 E935692:E935700 E935728:E935736 E935764:E935772 E935800:E935808 E935836:E935844 E935872:E935880 E935908:E935916 E935944:E935952 E935980:E935988 E936016:E936024 E936052:E936060 E936088:E936096 E936124:E936132 E936160:E936168 E936196:E936204 E936232:E936240 E936268:E936276 E936304:E936312 E936340:E936348 E936376:E936384 E936412:E936420 E936448:E936456 E936484:E936492 E936520:E936528 E936556:E936564 E936592:E936600 E936628:E936636 E936664:E936672 E936700:E936708 E936736:E936744 E936772:E936780 E936808:E936816 E936844:E936852 E936880:E936888 E936916:E936924 E936952:E936960 E936988:E936996 E937024:E937032 E937060:E937068 E937096:E937104 E937132:E937140 E937168:E937176 E937204:E937212 E937240:E937248 E937276:E937284 E937312:E937320 E937348:E937356 E937384:E937392 E937420:E937428 E937456:E937464 E937492:E937500 E937528:E937536 E937564:E937572 E937600:E937608 E937636:E937644 E937672:E937680 E937708:E937716 E937744:E937752 E937780:E937788 E937816:E937824 E937852:E937860 E937888:E937896 E937924:E937932 E937960:E937968 E937996:E938004 E938032:E938040 E938068:E938076 E938104:E938112 E938140:E938148 E938176:E938184 E938212:E938220 E938248:E938256 E938284:E938292 E938320:E938328 E938356:E938364 E938392:E938400 E938428:E938436 E938464:E938472 E938500:E938508 E938536:E938544 E938572:E938580 E938608:E938616 E938644:E938652 E938680:E938688 E938716:E938724 E938752:E938760 E938788:E938796 E938824:E938832 E938860:E938868 E938896:E938904 E938932:E938940 E938968:E938976 E939004:E939012 E939040:E939048 E939076:E939084 E939112:E939120 E939148:E939156 E939184:E939192 E939220:E939228 E939256:E939264 E939292:E939300 E939328:E939336 E939364:E939372 E939400:E939408 E939436:E939444 E939472:E939480 E939508:E939516 E939544:E939552 E939580:E939588 E939616:E939624 E939652:E939660 E939688:E939696 E939724:E939732 E939760:E939768 E939796:E939804 E939832:E939840 E939868:E939876 E939904:E939912 E939940:E939948 E939976:E939984 E940012:E940020 E940048:E940056 E940084:E940092 E940120:E940128 E940156:E940164 E940192:E940200 E940228:E940236 E940264:E940272 E940300:E940308 E940336:E940344 E940372:E940380 E940408:E940416 E940444:E940452 E940480:E940488 E940516:E940524 E940552:E940560 E940588:E940596 E940624:E940632 E940660:E940668 E940696:E940704 E940732:E940740 E940768:E940776 E940804:E940812 E940840:E940848 E940876:E940884 E940912:E940920 E940948:E940956 E940984:E940992 E941020:E941028 E941056:E941064 E941092:E941100 E941128:E941136 E941164:E941172 E941200:E941208 E941236:E941244 E941272:E941280 E941308:E941316 E941344:E941352 E941380:E941388 E941416:E941424 E941452:E941460 E941488:E941496 E941524:E941532 E941560:E941568 E941596:E941604 E941632:E941640 E941668:E941676 E941704:E941712 E941740:E941748 E941776:E941784 E941812:E941820 E941848:E941856 E941884:E941892 E941920:E941928 E941956:E941964 E941992:E942000 E942028:E942036 E942064:E942072 E942100:E942108 E942136:E942144 E942172:E942180 E942208:E942216 E942244:E942252 E942280:E942288 E942316:E942324 E942352:E942360 E942388:E942396 E942424:E942432 E942460:E942468 E942496:E942504 E942532:E942540 E942568:E942576 E942604:E942612 E942640:E942648 E942676:E942684 E942712:E942720 E942748:E942756 E942784:E942792 E942820:E942828 E942856:E942864 E942892:E942900 E942928:E942936 E942964:E942972 E943000:E943008 E943036:E943044 E943072:E943080 E943108:E943116 E943144:E943152 E943180:E943188 E943216:E943224 E943252:E943260 E943288:E943296 E943324:E943332 E943360:E943368 E943396:E943404 E943432:E943440 E943468:E943476 E943504:E943512 E943540:E943548 E943576:E943584 E943612:E943620 E943648:E943656 E943684:E943692 E943720:E943728 E943756:E943764 E943792:E943800 E943828:E943836 E943864:E943872 E943900:E943908 E943936:E943944 E943972:E943980 E944008:E944016 E944044:E944052 E944080:E944088 E944116:E944124 E944152:E944160 E944188:E944196 E944224:E944232 E944260:E944268 E944296:E944304 E944332:E944340 E944368:E944376 E944404:E944412 E944440:E944448 E944476:E944484 E944512:E944520 E944548:E944556 E944584:E944592 E944620:E944628 E944656:E944664 E944692:E944700 E944728:E944736 E944764:E944772 E944800:E944808 E944836:E944844 E944872:E944880 E944908:E944916 E944944:E944952 E944980:E944988 E945016:E945024 E945052:E945060 E945088:E945096 E945124:E945132 E945160:E945168 E945196:E945204 E945232:E945240 E945268:E945276 E945304:E945312 E945340:E945348 E945376:E945384 E945412:E945420 E945448:E945456 E945484:E945492 E945520:E945528 E945556:E945564 E945592:E945600 E945628:E945636 E945664:E945672 E945700:E945708 E945736:E945744 E945772:E945780 E945808:E945816 E945844:E945852 E945880:E945888 E945916:E945924 E945952:E945960 E945988:E945996 E946024:E946032 E946060:E946068 E946096:E946104 E946132:E946140 E946168:E946176 E946204:E946212 E946240:E946248 E946276:E946284 E946312:E946320 E946348:E946356 E946384:E946392 E946420:E946428 E946456:E946464 E946492:E946500 E946528:E946536 E946564:E946572 E946600:E946608 E946636:E946644 E946672:E946680 E946708:E946716 E946744:E946752 E946780:E946788 E946816:E946824 E946852:E946860 E946888:E946896 E946924:E946932 E946960:E946968 E946996:E947004 E947032:E947040 E947068:E947076 E947104:E947112 E947140:E947148 E947176:E947184 E947212:E947220 E947248:E947256 E947284:E947292 E947320:E947328 E947356:E947364 E947392:E947400 E947428:E947436 E947464:E947472 E947500:E947508 E947536:E947544 E947572:E947580 E947608:E947616 E947644:E947652 E947680:E947688 E947716:E947724 E947752:E947760 E947788:E947796 E947824:E947832 E947860:E947868 E947896:E947904 E947932:E947940 E947968:E947976 E948004:E948012 E948040:E948048 E948076:E948084 E948112:E948120 E948148:E948156 E948184:E948192 E948220:E948228 E948256:E948264 E948292:E948300 E948328:E948336 E948364:E948372 E948400:E948408 E948436:E948444 E948472:E948480 E948508:E948516 E948544:E948552 E948580:E948588 E948616:E948624 E948652:E948660 E948688:E948696 E948724:E948732 E948760:E948768 E948796:E948804 E948832:E948840 E948868:E948876 E948904:E948912 E948940:E948948 E948976:E948984 E949012:E949020 E949048:E949056 E949084:E949092 E949120:E949128 E949156:E949164 E949192:E949200 E949228:E949236 E949264:E949272 E949300:E949308 E949336:E949344 E949372:E949380 E949408:E949416 E949444:E949452 E949480:E949488 E949516:E949524 E949552:E949560 E949588:E949596 E949624:E949632 E949660:E949668 E949696:E949704 E949732:E949740 E949768:E949776 E949804:E949812 E949840:E949848 E949876:E949884 E949912:E949920 E949948:E949956 E949984:E949992 E950020:E950028 E950056:E950064 E950092:E950100 E950128:E950136 E950164:E950172 E950200:E950208 E950236:E950244 E950272:E950280 E950308:E950316 E950344:E950352 E950380:E950388 E950416:E950424 E950452:E950460 E950488:E950496 E950524:E950532 E950560:E950568 E950596:E950604 E950632:E950640 E950668:E950676 E950704:E950712 E950740:E950748 E950776:E950784 E950812:E950820 E950848:E950856 E950884:E950892 E950920:E950928 E950956:E950964 E950992:E951000 E951028:E951036 E951064:E951072 E951100:E951108 E951136:E951144 E951172:E951180 E951208:E951216 E951244:E951252 E951280:E951288 E951316:E951324 E951352:E951360 E951388:E951396 E951424:E951432 E951460:E951468 E951496:E951504 E951532:E951540 E951568:E951576 E951604:E951612 E951640:E951648 E951676:E951684 E951712:E951720 E951748:E951756 E951784:E951792 E951820:E951828 E951856:E951864 E951892:E951900 E951928:E951936 E951964:E951972 E952000:E952008 E952036:E952044 E952072:E952080 E952108:E952116 E952144:E952152 E952180:E952188 E952216:E952224 E952252:E952260 E952288:E952296 E952324:E952332 E952360:E952368 E952396:E952404 E952432:E952440 E952468:E952476 E952504:E952512 E952540:E952548 E952576:E952584 E952612:E952620 E952648:E952656 E952684:E952692 E952720:E952728 E952756:E952764 E952792:E952800 E952828:E952836 E952864:E952872 E952900:E952908 E952936:E952944 E952972:E952980 E953008:E953016 E953044:E953052 E953080:E953088 E953116:E953124 E953152:E953160 E953188:E953196 E953224:E953232 E953260:E953268 E953296:E953304 E953332:E953340 E953368:E953376 E953404:E953412 E953440:E953448 E953476:E953484 E953512:E953520 E953548:E953556 E953584:E953592 E953620:E953628 E953656:E953664 E953692:E953700 E953728:E953736 E953764:E953772 E953800:E953808 E953836:E953844 E953872:E953880 E953908:E953916 E953944:E953952 E953980:E953988 E954016:E954024 E954052:E954060 E954088:E954096 E954124:E954132 E954160:E954168 E954196:E954204 E954232:E954240 E954268:E954276 E954304:E954312 E954340:E954348 E954376:E954384 E954412:E954420 E954448:E954456 E954484:E954492 E954520:E954528 E954556:E954564 E954592:E954600 E954628:E954636 E954664:E954672 E954700:E954708 E954736:E954744 E954772:E954780 E954808:E954816 E954844:E954852 E954880:E954888 E954916:E954924 E954952:E954960 E954988:E954996 E955024:E955032 E955060:E955068 E955096:E955104 E955132:E955140 E955168:E955176 E955204:E955212 E955240:E955248 E955276:E955284 E955312:E955320 E955348:E955356 E955384:E955392 E955420:E955428 E955456:E955464 E955492:E955500 E955528:E955536 E955564:E955572 E955600:E955608 E955636:E955644 E955672:E955680 E955708:E955716 E955744:E955752 E955780:E955788 E955816:E955824 E955852:E955860 E955888:E955896 E955924:E955932 E955960:E955968 E955996:E956004 E956032:E956040 E956068:E956076 E956104:E956112 E956140:E956148 E956176:E956184 E956212:E956220 E956248:E956256 E956284:E956292 E956320:E956328 E956356:E956364 E956392:E956400 E956428:E956436 E956464:E956472 E956500:E956508 E956536:E956544 E956572:E956580 E956608:E956616 E956644:E956652 E956680:E956688 E956716:E956724 E956752:E956760 E956788:E956796 E956824:E956832 E956860:E956868 E956896:E956904 E956932:E956940 E956968:E956976 E957004:E957012 E957040:E957048 E957076:E957084 E957112:E957120 E957148:E957156 E957184:E957192 E957220:E957228 E957256:E957264 E957292:E957300 E957328:E957336 E957364:E957372 E957400:E957408 E957436:E957444 E957472:E957480 E957508:E957516 E957544:E957552 E957580:E957588 E957616:E957624 E957652:E957660 E957688:E957696 E957724:E957732 E957760:E957768 E957796:E957804 E957832:E957840 E957868:E957876 E957904:E957912 E957940:E957948 E957976:E957984 E958012:E958020 E958048:E958056 E958084:E958092 E958120:E958128 E958156:E958164 E958192:E958200 E958228:E958236 E958264:E958272 E958300:E958308 E958336:E958344 E958372:E958380 E958408:E958416 E958444:E958452 E958480:E958488 E958516:E958524 E958552:E958560 E958588:E958596 E958624:E958632 E958660:E958668 E958696:E958704 E958732:E958740 E958768:E958776 E958804:E958812 E958840:E958848 E958876:E958884 E958912:E958920 E958948:E958956 E958984:E958992 E959020:E959028 E959056:E959064 E959092:E959100 E959128:E959136 E959164:E959172 E959200:E959208 E959236:E959244 E959272:E959280 E959308:E959316 E959344:E959352 E959380:E959388 E959416:E959424 E959452:E959460 E959488:E959496 E959524:E959532 E959560:E959568 E959596:E959604 E959632:E959640 E959668:E959676 E959704:E959712 E959740:E959748 E959776:E959784 E959812:E959820 E959848:E959856 E959884:E959892 E959920:E959928 E959956:E959964 E959992:E960000 E960028:E960036 E960064:E960072 E960100:E960108 E960136:E960144 E960172:E960180 E960208:E960216 E960244:E960252 E960280:E960288 E960316:E960324 E960352:E960360 E960388:E960396 E960424:E960432 E960460:E960468 E960496:E960504 E960532:E960540 E960568:E960576 E960604:E960612 E960640:E960648 E960676:E960684 E960712:E960720 E960748:E960756 E960784:E960792 E960820:E960828 E960856:E960864 E960892:E960900 E960928:E960936 E960964:E960972 E961000:E961008 E961036:E961044 E961072:E961080 E961108:E961116 E961144:E961152 E961180:E961188 E961216:E961224 E961252:E961260 E961288:E961296 E961324:E961332 E961360:E961368 E961396:E961404 E961432:E961440 E961468:E961476 E961504:E961512 E961540:E961548 E961576:E961584 E961612:E961620 E961648:E961656 E961684:E961692 E961720:E961728 E961756:E961764 E961792:E961800 E961828:E961836 E961864:E961872 E961900:E961908 E961936:E961944 E961972:E961980 E962008:E962016 E962044:E962052 E962080:E962088 E962116:E962124 E962152:E962160 E962188:E962196 E962224:E962232 E962260:E962268 E962296:E962304 E962332:E962340 E962368:E962376 E962404:E962412 E962440:E962448 E962476:E962484 E962512:E962520 E962548:E962556 E962584:E962592 E962620:E962628 E962656:E962664 E962692:E962700 E962728:E962736 E962764:E962772 E962800:E962808 E962836:E962844 E962872:E962880 E962908:E962916 E962944:E962952 E962980:E962988 E963016:E963024 E963052:E963060 E963088:E963096 E963124:E963132 E963160:E963168 E963196:E963204 E963232:E963240 E963268:E963276 E963304:E963312 E963340:E963348 E963376:E963384 E963412:E963420 E963448:E963456 E963484:E963492 E963520:E963528 E963556:E963564 E963592:E963600 E963628:E963636 E963664:E963672 E963700:E963708 E963736:E963744 E963772:E963780 E963808:E963816 E963844:E963852 E963880:E963888 E963916:E963924 E963952:E963960 E963988:E963996 E964024:E964032 E964060:E964068 E964096:E964104 E964132:E964140 E964168:E964176 E964204:E964212 E964240:E964248 E964276:E964284 E964312:E964320 E964348:E964356 E964384:E964392 E964420:E964428 E964456:E964464 E964492:E964500 E964528:E964536 E964564:E964572 E964600:E964608 E964636:E964644 E964672:E964680 E964708:E964716 E964744:E964752 E964780:E964788 E964816:E964824 E964852:E964860 E964888:E964896 E964924:E964932 E964960:E964968 E964996:E965004 E965032:E965040 E965068:E965076 E965104:E965112 E965140:E965148 E965176:E965184 E965212:E965220 E965248:E965256 E965284:E965292 E965320:E965328 E965356:E965364 E965392:E965400 E965428:E965436 E965464:E965472 E965500:E965508 E965536:E965544 E965572:E965580 E965608:E965616 E965644:E965652 E965680:E965688 E965716:E965724 E965752:E965760 E965788:E965796 E965824:E965832 E965860:E965868 E965896:E965904 E965932:E965940 E965968:E965976 E966004:E966012 E966040:E966048 E966076:E966084 E966112:E966120 E966148:E966156 E966184:E966192 E966220:E966228 E966256:E966264 E966292:E966300 E966328:E966336 E966364:E966372 E966400:E966408 E966436:E966444 E966472:E966480 E966508:E966516 E966544:E966552 E966580:E966588 E966616:E966624 E966652:E966660 E966688:E966696 E966724:E966732 E966760:E966768 E966796:E966804 E966832:E966840 E966868:E966876 E966904:E966912 E966940:E966948 E966976:E966984 E967012:E967020 E967048:E967056 E967084:E967092 E967120:E967128 E967156:E967164 E967192:E967200 E967228:E967236 E967264:E967272 E967300:E967308 E967336:E967344 E967372:E967380 E967408:E967416 E967444:E967452 E967480:E967488 E967516:E967524 E967552:E967560 E967588:E967596 E967624:E967632 E967660:E967668 E967696:E967704 E967732:E967740 E967768:E967776 E967804:E967812 E967840:E967848 E967876:E967884 E967912:E967920 E967948:E967956 E967984:E967992 E968020:E968028 E968056:E968064 E968092:E968100 E968128:E968136 E968164:E968172 E968200:E968208 E968236:E968244 E968272:E968280 E968308:E968316 E968344:E968352 E968380:E968388 E968416:E968424 E968452:E968460 E968488:E968496 E968524:E968532 E968560:E968568 E968596:E968604 E968632:E968640 E968668:E968676 E968704:E968712 E968740:E968748 E968776:E968784 E968812:E968820 E968848:E968856 E968884:E968892 E968920:E968928 E968956:E968964 E968992:E969000 E969028:E969036 E969064:E969072 E969100:E969108 E969136:E969144 E969172:E969180 E969208:E969216 E969244:E969252 E969280:E969288 E969316:E969324 E969352:E969360 E969388:E969396 E969424:E969432 E969460:E969468 E969496:E969504 E969532:E969540 E969568:E969576 E969604:E969612 E969640:E969648 E969676:E969684 E969712:E969720 E969748:E969756 E969784:E969792 E969820:E969828 E969856:E969864 E969892:E969900 E969928:E969936 E969964:E969972 E970000:E970008 E970036:E970044 E970072:E970080 E970108:E970116 E970144:E970152 E970180:E970188 E970216:E970224 E970252:E970260 E970288:E970296 E970324:E970332 E970360:E970368 E970396:E970404 E970432:E970440 E970468:E970476 E970504:E970512 E970540:E970548 E970576:E970584 E970612:E970620 E970648:E970656 E970684:E970692 E970720:E970728 E970756:E970764 E970792:E970800 E970828:E970836 E970864:E970872 E970900:E970908 E970936:E970944 E970972:E970980 E971008:E971016 E971044:E971052 E971080:E971088 E971116:E971124 E971152:E971160 E971188:E971196 E971224:E971232 E971260:E971268 E971296:E971304 E971332:E971340 E971368:E971376 E971404:E971412 E971440:E971448 E971476:E971484 E971512:E971520 E971548:E971556 E971584:E971592 E971620:E971628 E971656:E971664 E971692:E971700 E971728:E971736 E971764:E971772 E971800:E971808 E971836:E971844 E971872:E971880 E971908:E971916 E971944:E971952 E971980:E971988 E972016:E972024 E972052:E972060 E972088:E972096 E972124:E972132 E972160:E972168 E972196:E972204 E972232:E972240 E972268:E972276 E972304:E972312 E972340:E972348 E972376:E972384 E972412:E972420 E972448:E972456 E972484:E972492 E972520:E972528 E972556:E972564 E972592:E972600 E972628:E972636 E972664:E972672 E972700:E972708 E972736:E972744 E972772:E972780 E972808:E972816 E972844:E972852 E972880:E972888 E972916:E972924 E972952:E972960 E972988:E972996 E973024:E973032 E973060:E973068 E973096:E973104 E973132:E973140 E973168:E973176 E973204:E973212 E973240:E973248 E973276:E973284 E973312:E973320 E973348:E973356 E973384:E973392 E973420:E973428 E973456:E973464 E973492:E973500 E973528:E973536 E973564:E973572 E973600:E973608 E973636:E973644 E973672:E973680 E973708:E973716 E973744:E973752 E973780:E973788 E973816:E973824 E973852:E973860 E973888:E973896 E973924:E973932 E973960:E973968 E973996:E974004 E974032:E974040 E974068:E974076 E974104:E974112 E974140:E974148 E974176:E974184 E974212:E974220 E974248:E974256 E974284:E974292 E974320:E974328 E974356:E974364 E974392:E974400 E974428:E974436 E974464:E974472 E974500:E974508 E974536:E974544 E974572:E974580 E974608:E974616 E974644:E974652 E974680:E974688 E974716:E974724 E974752:E974760 E974788:E974796 E974824:E974832 E974860:E974868 E974896:E974904 E974932:E974940 E974968:E974976 E975004:E975012 E975040:E975048 E975076:E975084 E975112:E975120 E975148:E975156 E975184:E975192 E975220:E975228 E975256:E975264 E975292:E975300 E975328:E975336 E975364:E975372 E975400:E975408 E975436:E975444 E975472:E975480 E975508:E975516 E975544:E975552 E975580:E975588 E975616:E975624 E975652:E975660 E975688:E975696 E975724:E975732 E975760:E975768 E975796:E975804 E975832:E975840 E975868:E975876 E975904:E975912 E975940:E975948 E975976:E975984 E976012:E976020 E976048:E976056 E976084:E976092 E976120:E976128 E976156:E976164 E976192:E976200 E976228:E976236 E976264:E976272 E976300:E976308 E976336:E976344 E976372:E976380 E976408:E976416 E976444:E976452 E976480:E976488 E976516:E976524 E976552:E976560 E976588:E976596 E976624:E976632 E976660:E976668 E976696:E976704 E976732:E976740 E976768:E976776 E976804:E976812 E976840:E976848 E976876:E976884 E976912:E976920 E976948:E976956 E976984:E976992 E977020:E977028 E977056:E977064 E977092:E977100 E977128:E977136 E977164:E977172 E977200:E977208 E977236:E977244 E977272:E977280 E977308:E977316 E977344:E977352 E977380:E977388 E977416:E977424 E977452:E977460 E977488:E977496 E977524:E977532 E977560:E977568 E977596:E977604 E977632:E977640 E977668:E977676 E977704:E977712 E977740:E977748 E977776:E977784 E977812:E977820 E977848:E977856 E977884:E977892 E977920:E977928 E977956:E977964 E977992:E978000 E978028:E978036 E978064:E978072 E978100:E978108 E978136:E978144 E978172:E978180 E978208:E978216 E978244:E978252 E978280:E978288 E978316:E978324 E978352:E978360 E978388:E978396 E978424:E978432 E978460:E978468 E978496:E978504 E978532:E978540 E978568:E978576 E978604:E978612 E978640:E978648 E978676:E978684 E978712:E978720 E978748:E978756 E978784:E978792 E978820:E978828 E978856:E978864 E978892:E978900 E978928:E978936 E978964:E978972 E979000:E979008 E979036:E979044 E979072:E979080 E979108:E979116 E979144:E979152 E979180:E979188 E979216:E979224 E979252:E979260 E979288:E979296 E979324:E979332 E979360:E979368 E979396:E979404 E979432:E979440 E979468:E979476 E979504:E979512 E979540:E979548 E979576:E979584 E979612:E979620 E979648:E979656 E979684:E979692 E979720:E979728 E979756:E979764 E979792:E979800 E979828:E979836 E979864:E979872 E979900:E979908 E979936:E979944 E979972:E979980 E980008:E980016 E980044:E980052 E980080:E980088 E980116:E980124 E980152:E980160 E980188:E980196 E980224:E980232 E980260:E980268 E980296:E980304 E980332:E980340 E980368:E980376 E980404:E980412 E980440:E980448 E980476:E980484 E980512:E980520 E980548:E980556 E980584:E980592 E980620:E980628 E980656:E980664 E980692:E980700 E980728:E980736 E980764:E980772 E980800:E980808 E980836:E980844 E980872:E980880 E980908:E980916 E980944:E980952 E980980:E980988 E981016:E981024 E981052:E981060 E981088:E981096 E981124:E981132 E981160:E981168 E981196:E981204 E981232:E981240 E981268:E981276 E981304:E981312 E981340:E981348 E981376:E981384 E981412:E981420 E981448:E981456 E981484:E981492 E981520:E981528 E981556:E981564 E981592:E981600 E981628:E981636 E981664:E981672 E981700:E981708 E981736:E981744 E981772:E981780 E981808:E981816 E981844:E981852 E981880:E981888 E981916:E981924 E981952:E981960 E981988:E981996 E982024:E982032 E982060:E982068 E982096:E982104 E982132:E982140 E982168:E982176 E982204:E982212 E982240:E982248 E982276:E982284 E982312:E982320 E982348:E982356 E982384:E982392 E982420:E982428 E982456:E982464 E982492:E982500 E982528:E982536 E982564:E982572 E982600:E982608 E982636:E982644 E982672:E982680 E982708:E982716 E982744:E982752 E982780:E982788 E982816:E982824 E982852:E982860 E982888:E982896 E982924:E982932 E982960:E982968 E982996:E983004 E983032:E983040 E983068:E983076 E983104:E983112 E983140:E983148 E983176:E983184 E983212:E983220 E983248:E983256 E983284:E983292 E983320:E983328 E983356:E983364 E983392:E983400 E983428:E983436 E983464:E983472 E983500:E983508 E983536:E983544 E983572:E983580 E983608:E983616 E983644:E983652 E983680:E983688 E983716:E983724 E983752:E983760 E983788:E983796 E983824:E983832 E983860:E983868 E983896:E983904 E983932:E983940 E983968:E983976 E984004:E984012 E984040:E984048 E984076:E984084 E984112:E984120 E984148:E984156 E984184:E984192 E984220:E984228 E984256:E984264 E984292:E984300 E984328:E984336 E984364:E984372 E984400:E984408 E984436:E984444 E984472:E984480 E984508:E984516 E984544:E984552 E984580:E984588 E984616:E984624 E984652:E984660 E984688:E984696 E984724:E984732 E984760:E984768 E984796:E984804 E984832:E984840 E984868:E984876 E984904:E984912 E984940:E984948 E984976:E984984 E985012:E985020 E985048:E985056 E985084:E985092 E985120:E985128 E985156:E985164 E985192:E985200 E985228:E985236 E985264:E985272 E985300:E985308 E985336:E985344 E985372:E985380 E985408:E985416 E985444:E985452 E985480:E985488 E985516:E985524 E985552:E985560 E985588:E985596 E985624:E985632 E985660:E985668 E985696:E985704 E985732:E985740 E985768:E985776 E985804:E985812 E985840:E985848 E985876:E985884 E985912:E985920 E985948:E985956 E985984:E985992 E986020:E986028 E986056:E986064 E986092:E986100 E986128:E986136 E986164:E986172 E986200:E986208 E986236:E986244 E986272:E986280 E986308:E986316 E986344:E986352 E986380:E986388 E986416:E986424 E986452:E986460 E986488:E986496 E986524:E986532 E986560:E986568 E986596:E986604 E986632:E986640 E986668:E986676 E986704:E986712 E986740:E986748 E986776:E986784 E986812:E986820 E986848:E986856 E986884:E986892 E986920:E986928 E986956:E986964 E986992:E987000 E987028:E987036 E987064:E987072 E987100:E987108 E987136:E987144 E987172:E987180 E987208:E987216 E987244:E987252 E987280:E987288 E987316:E987324 E987352:E987360 E987388:E987396 E987424:E987432 E987460:E987468 E987496:E987504 E987532:E987540 E987568:E987576 E987604:E987612 E987640:E987648 E987676:E987684 E987712:E987720 E987748:E987756 E987784:E987792 E987820:E987828 E987856:E987864 E987892:E987900 E987928:E987936 E987964:E987972 E988000:E988008 E988036:E988044 E988072:E988080 E988108:E988116 E988144:E988152 E988180:E988188 E988216:E988224 E988252:E988260 E988288:E988296 E988324:E988332 E988360:E988368 E988396:E988404 E988432:E988440 E988468:E988476 E988504:E988512 E988540:E988548 E988576:E988584 E988612:E988620 E988648:E988656 E988684:E988692 E988720:E988728 E988756:E988764 E988792:E988800 E988828:E988836 E988864:E988872 E988900:E988908 E988936:E988944 E988972:E988980 E989008:E989016 E989044:E989052 E989080:E989088 E989116:E989124 E989152:E989160 E989188:E989196 E989224:E989232 E989260:E989268 E989296:E989304 E989332:E989340 E989368:E989376 E989404:E989412 E989440:E989448 E989476:E989484 E989512:E989520 E989548:E989556 E989584:E989592 E989620:E989628 E989656:E989664 E989692:E989700 E989728:E989736 E989764:E989772 E989800:E989808 E989836:E989844 E989872:E989880 E989908:E989916 E989944:E989952 E989980:E989988 E990016:E990024 E990052:E990060 E990088:E990096 E990124:E990132 E990160:E990168 E990196:E990204 E990232:E990240 E990268:E990276 E990304:E990312 E990340:E990348 E990376:E990384 E990412:E990420 E990448:E990456 E990484:E990492 E990520:E990528 E990556:E990564 E990592:E990600 E990628:E990636 E990664:E990672 E990700:E990708 E990736:E990744 E990772:E990780 E990808:E990816 E990844:E990852 E990880:E990888 E990916:E990924 E990952:E990960 E990988:E990996 E991024:E991032 E991060:E991068 E991096:E991104 E991132:E991140 E991168:E991176 E991204:E991212 E991240:E991248 E991276:E991284 E991312:E991320 E991348:E991356 E991384:E991392 E991420:E991428 E991456:E991464 E991492:E991500 E991528:E991536 E991564:E991572 E991600:E991608 E991636:E991644 E991672:E991680 E991708:E991716 E991744:E991752 E991780:E991788 E991816:E991824 E991852:E991860 E991888:E991896 E991924:E991932 E991960:E991968 E991996:E992004 E992032:E992040 E992068:E992076 E992104:E992112 E992140:E992148 E992176:E992184 E992212:E992220 E992248:E992256 E992284:E992292 E992320:E992328 E992356:E992364 E992392:E992400 E992428:E992436 E992464:E992472 E992500:E992508 E992536:E992544 E992572:E992580 E992608:E992616 E992644:E992652 E992680:E992688 E992716:E992724 E992752:E992760 E992788:E992796 E992824:E992832 E992860:E992868 E992896:E992904 E992932:E992940 E992968:E992976 E993004:E993012 E993040:E993048 E993076:E993084 E993112:E993120 E993148:E993156 E993184:E993192 E993220:E993228 E993256:E993264 E993292:E993300 E993328:E993336 E993364:E993372 E993400:E993408 E993436:E993444 E993472:E993480 E993508:E993516 E993544:E993552 E993580:E993588 E993616:E993624 E993652:E993660 E993688:E993696 E993724:E993732 E993760:E993768 E993796:E993804 E993832:E993840 E993868:E993876 E993904:E993912 E993940:E993948 E993976:E993984 E994012:E994020 E994048:E994056 E994084:E994092 E994120:E994128 E994156:E994164 E994192:E994200 E994228:E994236 E994264:E994272 E994300:E994308 E994336:E994344 E994372:E994380 E994408:E994416 E994444:E994452 E994480:E994488 E994516:E994524 E994552:E994560 E994588:E994596 E994624:E994632 E994660:E994668 E994696:E994704 E994732:E994740 E994768:E994776 E994804:E994812 E994840:E994848 E994876:E994884 E994912:E994920 E994948:E994956 E994984:E994992 E995020:E995028 E995056:E995064 E995092:E995100 E995128:E995136 E995164:E995172 E995200:E995208 E995236:E995244 E995272:E995280 E995308:E995316 E995344:E995352 E995380:E995388 E995416:E995424 E995452:E995460 E995488:E995496 E995524:E995532 E995560:E995568 E995596:E995604 E995632:E995640 E995668:E995676 E995704:E995712 E995740:E995748 E995776:E995784 E995812:E995820 E995848:E995856 E995884:E995892 E995920:E995928 E995956:E995964 E995992:E996000 E996028:E996036 E996064:E996072 E996100:E996108 E996136:E996144 E996172:E996180 E996208:E996216 E996244:E996252 E996280:E996288 E996316:E996324 E996352:E996360 E996388:E996396 E996424:E996432 E996460:E996468 E996496:E996504 E996532:E996540 E996568:E996576 E996604:E996612 E996640:E996648 E996676:E996684 E996712:E996720 E996748:E996756 E996784:E996792 E996820:E996828 E996856:E996864 E996892:E996900 E996928:E996936 E996964:E996972 E997000:E997008 E997036:E997044 E997072:E997080 E997108:E997116 E997144:E997152 E997180:E997188 E997216:E997224 E997252:E997260 E997288:E997296 E997324:E997332 E997360:E997368 E997396:E997404 E997432:E997440 E997468:E997476 E997504:E997512 E997540:E997548 E997576:E997584 E997612:E997620 E997648:E997656 E997684:E997692 E997720:E997728 E997756:E997764 E997792:E997800 E997828:E997836 E997864:E997872 E997900:E997908 E997936:E997944 E997972:E997980 E998008:E998016 E998044:E998052 E998080:E998088 E998116:E998124 E998152:E998160 E998188:E998196 E998224:E998232 E998260:E998268 E998296:E998304 E998332:E998340 E998368:E998376 E998404:E998412 E998440:E998448 E998476:E998484 E998512:E998520 E998548:E998556 E998584:E998592 E998620:E998628 E998656:E998664 E998692:E998700 E998728:E998736 E998764:E998772 E998800:E998808 E998836:E998844 E998872:E998880 E998908:E998916 E998944:E998952 E998980:E998988 E999016:E999024 E999052:E999060 E999088:E999096 E999124:E999132 E999160:E999168 E999196:E999204 E999232:E999240 E999268:E999276 E999304:E999312 E999340:E999348 E999376:E999384 E999412:E999420 E999448:E999456 E999484:E999492 E999520:E999528 E999556:E999564 E999592:E999600 E999628:E999636 E999664:E999672 E999700:E999708 E999736:E999744 E999772:E999780 E999808:E999816 E999844:E999852 E999880:E999888 E999916:E999924 E999952:E999960 E999988:E999996 E1000024:E1000032 E1000060:E1000068 E1000096:E1000104 E1000132:E1000140 E1000168:E1000176 E1000204:E1000212 E1000240:E1000248 E1000276:E1000284 E1000312:E1000320 E1000348:E1000356 E1000384:E1000392 E1000420:E1000428 E1000456:E1000464 E1000492:E1000500 E1000528:E1000536 E1000564:E1000572 E1000600:E1000608 E1000636:E1000644 E1000672:E1000680 E1000708:E1000716 E1000744:E1000752 E1000780:E1000788 E1000816:E1000824 E1000852:E1000860 E1000888:E1000896 E1000924:E1000932 E1000960:E1000968 E1000996:E1001004 E1001032:E1001040 E1001068:E1001076 E1001104:E1001112 E1001140:E1001148 E1001176:E1001184 E1001212:E1001220 E1001248:E1001256 E1001284:E1001292 E1001320:E1001328 E1001356:E1001364 E1001392:E1001400 E1001428:E1001436 E1001464:E1001472 E1001500:E1001508 E1001536:E1001544 E1001572:E1001580 E1001608:E1001616 E1001644:E1001652 E1001680:E1001688 E1001716:E1001724 E1001752:E1001760 E1001788:E1001796 E1001824:E1001832 E1001860:E1001868 E1001896:E1001904 E1001932:E1001940 E1001968:E1001976 E1002004:E1002012 E1002040:E1002048 E1002076:E1002084 E1002112:E1002120 E1002148:E1002156 E1002184:E1002192 E1002220:E1002228 E1002256:E1002264 E1002292:E1002300 E1002328:E1002336 E1002364:E1002372 E1002400:E1002408 E1002436:E1002444 E1002472:E1002480 E1002508:E1002516 E1002544:E1002552 E1002580:E1002588 E1002616:E1002624 E1002652:E1002660 E1002688:E1002696 E1002724:E1002732 E1002760:E1002768 E1002796:E1002804 E1002832:E1002840 E1002868:E1002876 E1002904:E1002912 E1002940:E1002948 E1002976:E1002984 E1003012:E1003020 E1003048:E1003056 E1003084:E1003092 E1003120:E1003128 E1003156:E1003164 E1003192:E1003200 E1003228:E1003236 E1003264:E1003272 E1003300:E1003308 E1003336:E1003344 E1003372:E1003380 E1003408:E1003416 E1003444:E1003452 E1003480:E1003488 E1003516:E1003524 E1003552:E1003560 E1003588:E1003596 E1003624:E1003632 E1003660:E1003668 E1003696:E1003704 E1003732:E1003740 E1003768:E1003776 E1003804:E1003812 E1003840:E1003848 E1003876:E1003884 E1003912:E1003920 E1003948:E1003956 E1003984:E1003992 E1004020:E1004028 E1004056:E1004064 E1004092:E1004100 E1004128:E1004136 E1004164:E1004172 E1004200:E1004208 E1004236:E1004244 E1004272:E1004280 E1004308:E1004316 E1004344:E1004352 E1004380:E1004388 E1004416:E1004424 E1004452:E1004460 E1004488:E1004496 E1004524:E1004532 E1004560:E1004568 E1004596:E1004604 E1004632:E1004640 E1004668:E1004676 E1004704:E1004712 E1004740:E1004748 E1004776:E1004784 E1004812:E1004820 E1004848:E1004856 E1004884:E1004892 E1004920:E1004928 E1004956:E1004964 E1004992:E1005000 E1005028:E1005036 E1005064:E1005072 E1005100:E1005108 E1005136:E1005144 E1005172:E1005180 E1005208:E1005216 E1005244:E1005252 E1005280:E1005288 E1005316:E1005324 E1005352:E1005360 E1005388:E1005396 E1005424:E1005432 E1005460:E1005468 E1005496:E1005504 E1005532:E1005540 E1005568:E1005576 E1005604:E1005612 E1005640:E1005648 E1005676:E1005684 E1005712:E1005720 E1005748:E1005756 E1005784:E1005792 E1005820:E1005828 E1005856:E1005864 E1005892:E1005900 E1005928:E1005936 E1005964:E1005972 E1006000:E1006008 E1006036:E1006044 E1006072:E1006080 E1006108:E1006116 E1006144:E1006152 E1006180:E1006188 E1006216:E1006224 E1006252:E1006260 E1006288:E1006296 E1006324:E1006332 E1006360:E1006368 E1006396:E1006404 E1006432:E1006440 E1006468:E1006476 E1006504:E1006512 E1006540:E1006548 E1006576:E1006584 E1006612:E1006620 E1006648:E1006656 E1006684:E1006692 E1006720:E1006728 E1006756:E1006764 E1006792:E1006800 E1006828:E1006836 E1006864:E1006872 E1006900:E1006908 E1006936:E1006944 E1006972:E1006980 E1007008:E1007016 E1007044:E1007052 E1007080:E1007088 E1007116:E1007124 E1007152:E1007160 E1007188:E1007196 E1007224:E1007232 E1007260:E1007268 E1007296:E1007304 E1007332:E1007340 E1007368:E1007376 E1007404:E1007412 E1007440:E1007448 E1007476:E1007484 E1007512:E1007520 E1007548:E1007556 E1007584:E1007592 E1007620:E1007628 E1007656:E1007664 E1007692:E1007700 E1007728:E1007736 E1007764:E1007772 E1007800:E1007808 E1007836:E1007844 E1007872:E1007880 E1007908:E1007916 E1007944:E1007952 E1007980:E1007988 E1008016:E1008024 E1008052:E1008060 E1008088:E1008096 E1008124:E1008132 E1008160:E1008168 E1008196:E1008204 E1008232:E1008240 E1008268:E1008276 E1008304:E1008312 E1008340:E1008348 E1008376:E1008384 E1008412:E1008420 E1008448:E1008456 E1008484:E1008492 E1008520:E1008528 E1008556:E1008564 E1008592:E1008600 E1008628:E1008636 E1008664:E1008672 E1008700:E1008708 E1008736:E1008744 E1008772:E1008780 E1008808:E1008816 E1008844:E1008852 E1008880:E1008888 E1008916:E1008924 E1008952:E1008960 E1008988:E1008996 E1009024:E1009032 E1009060:E1009068 E1009096:E1009104 E1009132:E1009140 E1009168:E1009176 E1009204:E1009212 E1009240:E1009248 E1009276:E1009284 E1009312:E1009320 E1009348:E1009356 E1009384:E1009392 E1009420:E1009428 E1009456:E1009464 E1009492:E1009500 E1009528:E1009536 E1009564:E1009572 E1009600:E1009608 E1009636:E1009644 E1009672:E1009680 E1009708:E1009716 E1009744:E1009752 E1009780:E1009788 E1009816:E1009824 E1009852:E1009860 E1009888:E1009896 E1009924:E1009932 E1009960:E1009968 E1009996:E1010004 E1010032:E1010040 E1010068:E1010076 E1010104:E1010112 E1010140:E1010148 E1010176:E1010184 E1010212:E1010220 E1010248:E1010256 E1010284:E1010292 E1010320:E1010328 E1010356:E1010364 E1010392:E1010400 E1010428:E1010436 E1010464:E1010472 E1010500:E1010508 E1010536:E1010544 E1010572:E1010580 E1010608:E1010616 E1010644:E1010652 E1010680:E1010688 E1010716:E1010724 E1010752:E1010760 E1010788:E1010796 E1010824:E1010832 E1010860:E1010868 E1010896:E1010904 E1010932:E1010940 E1010968:E1010976 E1011004:E1011012 E1011040:E1011048 E1011076:E1011084 E1011112:E1011120 E1011148:E1011156 E1011184:E1011192 E1011220:E1011228 E1011256:E1011264 E1011292:E1011300 E1011328:E1011336 E1011364:E1011372 E1011400:E1011408 E1011436:E1011444 E1011472:E1011480 E1011508:E1011516 E1011544:E1011552 E1011580:E1011588 E1011616:E1011624 E1011652:E1011660 E1011688:E1011696 E1011724:E1011732 E1011760:E1011768 E1011796:E1011804 E1011832:E1011840 E1011868:E1011876 E1011904:E1011912 E1011940:E1011948 E1011976:E1011984 E1012012:E1012020 E1012048:E1012056 E1012084:E1012092 E1012120:E1012128 E1012156:E1012164 E1012192:E1012200 E1012228:E1012236 E1012264:E1012272 E1012300:E1012308 E1012336:E1012344 E1012372:E1012380 E1012408:E1012416 E1012444:E1012452 E1012480:E1012488 E1012516:E1012524 E1012552:E1012560 E1012588:E1012596 E1012624:E1012632 E1012660:E1012668 E1012696:E1012704 E1012732:E1012740 E1012768:E1012776 E1012804:E1012812 E1012840:E1012848 E1012876:E1012884 E1012912:E1012920 E1012948:E1012956 E1012984:E1012992 E1013020:E1013028 E1013056:E1013064 E1013092:E1013100 E1013128:E1013136 E1013164:E1013172 E1013200:E1013208 E1013236:E1013244 E1013272:E1013280 E1013308:E1013316 E1013344:E1013352 E1013380:E1013388 E1013416:E1013424 E1013452:E1013460 E1013488:E1013496 E1013524:E1013532 E1013560:E1013568 E1013596:E1013604 E1013632:E1013640 E1013668:E1013676 E1013704:E1013712 E1013740:E1013748 E1013776:E1013784 E1013812:E1013820 E1013848:E1013856 E1013884:E1013892 E1013920:E1013928 E1013956:E1013964 E1013992:E1014000 E1014028:E1014036 E1014064:E1014072 E1014100:E1014108 E1014136:E1014144 E1014172:E1014180 E1014208:E1014216 E1014244:E1014252 E1014280:E1014288 E1014316:E1014324 E1014352:E1014360 E1014388:E1014396 E1014424:E1014432 E1014460:E1014468 E1014496:E1014504 E1014532:E1014540 E1014568:E1014576 E1014604:E1014612 E1014640:E1014648 E1014676:E1014684 E1014712:E1014720 E1014748:E1014756 E1014784:E1014792 E1014820:E1014828 E1014856:E1014864 E1014892:E1014900 E1014928:E1014936 E1014964:E1014972 E1015000:E1015008 E1015036:E1015044 E1015072:E1015080 E1015108:E1015116 E1015144:E1015152 E1015180:E1015188 E1015216:E1015224 E1015252:E1015260 E1015288:E1015296 E1015324:E1015332 E1015360:E1015368 E1015396:E1015404 E1015432:E1015440 E1015468:E1015476 E1015504:E1015512 E1015540:E1015548 E1015576:E1015584 E1015612:E1015620 E1015648:E1015656 E1015684:E1015692 E1015720:E1015728 E1015756:E1015764 E1015792:E1015800 E1015828:E1015836 E1015864:E1015872 E1015900:E1015908 E1015936:E1015944 E1015972:E1015980 E1016008:E1016016 E1016044:E1016052 E1016080:E1016088 E1016116:E1016124 E1016152:E1016160 E1016188:E1016196 E1016224:E1016232 E1016260:E1016268 E1016296:E1016304 E1016332:E1016340 E1016368:E1016376 E1016404:E1016412 E1016440:E1016448 E1016476:E1016484 E1016512:E1016520 E1016548:E1016556 E1016584:E1016592 E1016620:E1016628 E1016656:E1016664 E1016692:E1016700 E1016728:E1016736 E1016764:E1016772 E1016800:E1016808 E1016836:E1016844 E1016872:E1016880 E1016908:E1016916 E1016944:E1016952 E1016980:E1016988 E1017016:E1017024 E1017052:E1017060 E1017088:E1017096 E1017124:E1017132 E1017160:E1017168 E1017196:E1017204 E1017232:E1017240 E1017268:E1017276 E1017304:E1017312 E1017340:E1017348 E1017376:E1017384 E1017412:E1017420 E1017448:E1017456 E1017484:E1017492 E1017520:E1017528 E1017556:E1017564 E1017592:E1017600 E1017628:E1017636 E1017664:E1017672 E1017700:E1017708 E1017736:E1017744 E1017772:E1017780 E1017808:E1017816 E1017844:E1017852 E1017880:E1017888 E1017916:E1017924 E1017952:E1017960 E1017988:E1017996 E1018024:E1018032 E1018060:E1018068 E1018096:E1018104 E1018132:E1018140 E1018168:E1018176 E1018204:E1018212 E1018240:E1018248 E1018276:E1018284 E1018312:E1018320 E1018348:E1018356 E1018384:E1018392 E1018420:E1018428 E1018456:E1018464 E1018492:E1018500 E1018528:E1018536 E1018564:E1018572 E1018600:E1018608 E1018636:E1018644 E1018672:E1018680 E1018708:E1018716 E1018744:E1018752 E1018780:E1018788 E1018816:E1018824 E1018852:E1018860 E1018888:E1018896 E1018924:E1018932 E1018960:E1018968 E1018996:E1019004 E1019032:E1019040 E1019068:E1019076 E1019104:E1019112 E1019140:E1019148 E1019176:E1019184 E1019212:E1019220 E1019248:E1019256 E1019284:E1019292 E1019320:E1019328 E1019356:E1019364 E1019392:E1019400 E1019428:E1019436 E1019464:E1019472 E1019500:E1019508 E1019536:E1019544 E1019572:E1019580 E1019608:E1019616 E1019644:E1019652 E1019680:E1019688 E1019716:E1019724 E1019752:E1019760 E1019788:E1019796 E1019824:E1019832 E1019860:E1019868 E1019896:E1019904 E1019932:E1019940 E1019968:E1019976 E1020004:E1020012 E1020040:E1020048 E1020076:E1020084 E1020112:E1020120 E1020148:E1020156 E1020184:E1020192 E1020220:E1020228 E1020256:E1020264 E1020292:E1020300 E1020328:E1020336 E1020364:E1020372 E1020400:E1020408 E1020436:E1020444 E1020472:E1020480 E1020508:E1020516 E1020544:E1020552 E1020580:E1020588 E1020616:E1020624 E1020652:E1020660 E1020688:E1020696 E1020724:E1020732 E1020760:E1020768 E1020796:E1020804 E1020832:E1020840 E1020868:E1020876 E1020904:E1020912 E1020940:E1020948 E1020976:E1020984 E1021012:E1021020 E1021048:E1021056 E1021084:E1021092 E1021120:E1021128 E1021156:E1021164 E1021192:E1021200 E1021228:E1021236 E1021264:E1021272 E1021300:E1021308 E1021336:E1021344 E1021372:E1021380 E1021408:E1021416 E1021444:E1021452 E1021480:E1021488 E1021516:E1021524 E1021552:E1021560 E1021588:E1021596 E1021624:E1021632 E1021660:E1021668 E1021696:E1021704 E1021732:E1021740 E1021768:E1021776 E1021804:E1021812 E1021840:E1021848 E1021876:E1021884 E1021912:E1021920 E1021948:E1021956 E1021984:E1021992 E1022020:E1022028 E1022056:E1022064 E1022092:E1022100 E1022128:E1022136 E1022164:E1022172 E1022200:E1022208 E1022236:E1022244 E1022272:E1022280 E1022308:E1022316 E1022344:E1022352 E1022380:E1022388 E1022416:E1022424 E1022452:E1022460 E1022488:E1022496 E1022524:E1022532 E1022560:E1022568 E1022596:E1022604 E1022632:E1022640 E1022668:E1022676 E1022704:E1022712 E1022740:E1022748 E1022776:E1022784 E1022812:E1022820 E1022848:E1022856 E1022884:E1022892 E1022920:E1022928 E1022956:E1022964 E1022992:E1023000 E1023028:E1023036 E1023064:E1023072 E1023100:E1023108 E1023136:E1023144 E1023172:E1023180 E1023208:E1023216 E1023244:E1023252 E1023280:E1023288 E1023316:E1023324 E1023352:E1023360 E1023388:E1023396 E1023424:E1023432 E1023460:E1023468 E1023496:E1023504 E1023532:E1023540 E1023568:E1023576 E1023604:E1023612 E1023640:E1023648 E1023676:E1023684 E1023712:E1023720 E1023748:E1023756 E1023784:E1023792 E1023820:E1023828 E1023856:E1023864 E1023892:E1023900 E1023928:E1023936 E1023964:E1023972 E1024000:E1024008 E1024036:E1024044 E1024072:E1024080 E1024108:E1024116 E1024144:E1024152 E1024180:E1024188 E1024216:E1024224 E1024252:E1024260 E1024288:E1024296 E1024324:E1024332 E1024360:E1024368 E1024396:E1024404 E1024432:E1024440 E1024468:E1024476 E1024504:E1024512 E1024540:E1024548 E1024576:E1024584 E1024612:E1024620 E1024648:E1024656 E1024684:E1024692 E1024720:E1024728 E1024756:E1024764 E1024792:E1024800 E1024828:E1024836 E1024864:E1024872 E1024900:E1024908 E1024936:E1024944 E1024972:E1024980 E1025008:E1025016 E1025044:E1025052 E1025080:E1025088 E1025116:E1025124 E1025152:E1025160 E1025188:E1025196 E1025224:E1025232 E1025260:E1025268 E1025296:E1025304 E1025332:E1025340 E1025368:E1025376 E1025404:E1025412 E1025440:E1025448 E1025476:E1025484 E1025512:E1025520 E1025548:E1025556 E1025584:E1025592 E1025620:E1025628 E1025656:E1025664 E1025692:E1025700 E1025728:E1025736 E1025764:E1025772 E1025800:E1025808 E1025836:E1025844 E1025872:E1025880 E1025908:E1025916 E1025944:E1025952 E1025980:E1025988 E1026016:E1026024 E1026052:E1026060 E1026088:E1026096 E1026124:E1026132 E1026160:E1026168 E1026196:E1026204 E1026232:E1026240 E1026268:E1026276 E1026304:E1026312 E1026340:E1026348 E1026376:E1026384 E1026412:E1026420 E1026448:E1026456 E1026484:E1026492 E1026520:E1026528 E1026556:E1026564 E1026592:E1026600 E1026628:E1026636 E1026664:E1026672 E1026700:E1026708 E1026736:E1026744 E1026772:E1026780 E1026808:E1026816 E1026844:E1026852 E1026880:E1026888 E1026916:E1026924 E1026952:E1026960 E1026988:E1026996 E1027024:E1027032 E1027060:E1027068 E1027096:E1027104 E1027132:E1027140 E1027168:E1027176 E1027204:E1027212 E1027240:E1027248 E1027276:E1027284 E1027312:E1027320 E1027348:E1027356 E1027384:E1027392 E1027420:E1027428 E1027456:E1027464 E1027492:E1027500 E1027528:E1027536 E1027564:E1027572 E1027600:E1027608 E1027636:E1027644 E1027672:E1027680 E1027708:E1027716 E1027744:E1027752 E1027780:E1027788 E1027816:E1027824 E1027852:E1027860 E1027888:E1027896 E1027924:E1027932 E1027960:E1027968 E1027996:E1028004 E1028032:E1028040 E1028068:E1028076 E1028104:E1028112 E1028140:E1028148 E1028176:E1028184 E1028212:E1028220 E1028248:E1028256 E1028284:E1028292 E1028320:E1028328 E1028356:E1028364 E1028392:E1028400 E1028428:E1028436 E1028464:E1028472 E1028500:E1028508 E1028536:E1028544 E1028572:E1028580 E1028608:E1028616 E1028644:E1028652 E1028680:E1028688 E1028716:E1028724 E1028752:E1028760 E1028788:E1028796 E1028824:E1028832 E1028860:E1028868 E1028896:E1028904 E1028932:E1028940 E1028968:E1028976 E1029004:E1029012 E1029040:E1029048 E1029076:E1029084 E1029112:E1029120 E1029148:E1029156 E1029184:E1029192 E1029220:E1029228 E1029256:E1029264 E1029292:E1029300 E1029328:E1029336 E1029364:E1029372 E1029400:E1029408 E1029436:E1029444 E1029472:E1029480 E1029508:E1029516 E1029544:E1029552 E1029580:E1029588 E1029616:E1029624 E1029652:E1029660 E1029688:E1029696 E1029724:E1029732 E1029760:E1029768 E1029796:E1029804 E1029832:E1029840 E1029868:E1029876 E1029904:E1029912 E1029940:E1029948 E1029976:E1029984 E1030012:E1030020 E1030048:E1030056 E1030084:E1030092 E1030120:E1030128 E1030156:E1030164 E1030192:E1030200 E1030228:E1030236 E1030264:E1030272 E1030300:E1030308 E1030336:E1030344 E1030372:E1030380 E1030408:E1030416 E1030444:E1030452 E1030480:E1030488 E1030516:E1030524 E1030552:E1030560 E1030588:E1030596 E1030624:E1030632 E1030660:E1030668 E1030696:E1030704 E1030732:E1030740 E1030768:E1030776 E1030804:E1030812 E1030840:E1030848 E1030876:E1030884 E1030912:E1030920 E1030948:E1030956 E1030984:E1030992 E1031020:E1031028 E1031056:E1031064 E1031092:E1031100 E1031128:E1031136 E1031164:E1031172 E1031200:E1031208 E1031236:E1031244 E1031272:E1031280 E1031308:E1031316 E1031344:E1031352 E1031380:E1031388 E1031416:E1031424 E1031452:E1031460 E1031488:E1031496 E1031524:E1031532 E1031560:E1031568 E1031596:E1031604 E1031632:E1031640 E1031668:E1031676 E1031704:E1031712 E1031740:E1031748 E1031776:E1031784 E1031812:E1031820 E1031848:E1031856 E1031884:E1031892 E1031920:E1031928 E1031956:E1031964 E1031992:E1032000 E1032028:E1032036 E1032064:E1032072 E1032100:E1032108 E1032136:E1032144 E1032172:E1032180 E1032208:E1032216 E1032244:E1032252 E1032280:E1032288 E1032316:E1032324 E1032352:E1032360 E1032388:E1032396 E1032424:E1032432 E1032460:E1032468 E1032496:E1032504 E1032532:E1032540 E1032568:E1032576 E1032604:E1032612 E1032640:E1032648 E1032676:E1032684 E1032712:E1032720 E1032748:E1032756 E1032784:E1032792 E1032820:E1032828 E1032856:E1032864 E1032892:E1032900 E1032928:E1032936 E1032964:E1032972 E1033000:E1033008 E1033036:E1033044 E1033072:E1033080 E1033108:E1033116 E1033144:E1033152 E1033180:E1033188 E1033216:E1033224 E1033252:E1033260 E1033288:E1033296 E1033324:E1033332 E1033360:E1033368 E1033396:E1033404 E1033432:E1033440 E1033468:E1033476 E1033504:E1033512 E1033540:E1033548 E1033576:E1033584 E1033612:E1033620 E1033648:E1033656 E1033684:E1033692 E1033720:E1033728 E1033756:E1033764 E1033792:E1033800 E1033828:E1033836 E1033864:E1033872 E1033900:E1033908 E1033936:E1033944 E1033972:E1033980 E1034008:E1034016 E1034044:E1034052 E1034080:E1034088 E1034116:E1034124 E1034152:E1034160 E1034188:E1034196 E1034224:E1034232 E1034260:E1034268 E1034296:E1034304 E1034332:E1034340 E1034368:E1034376 E1034404:E1034412 E1034440:E1034448 E1034476:E1034484 E1034512:E1034520 E1034548:E1034556 E1034584:E1034592 E1034620:E1034628 E1034656:E1034664 E1034692:E1034700 E1034728:E1034736 E1034764:E1034772 E1034800:E1034808 E1034836:E1034844 E1034872:E1034880 E1034908:E1034916 E1034944:E1034952 E1034980:E1034988 E1035016:E1035024 E1035052:E1035060 E1035088:E1035096 E1035124:E1035132 E1035160:E1035168 E1035196:E1035204 E1035232:E1035240 E1035268:E1035276 E1035304:E1035312 E1035340:E1035348 E1035376:E1035384 E1035412:E1035420 E1035448:E1035456 E1035484:E1035492 E1035520:E1035528 E1035556:E1035564 E1035592:E1035600 E1035628:E1035636 E1035664:E1035672 E1035700:E1035708 E1035736:E1035744 E1035772:E1035780 E1035808:E1035816 E1035844:E1035852 E1035880:E1035888 E1035916:E1035924 E1035952:E1035960 E1035988:E1035996 E1036024:E1036032 E1036060:E1036068 E1036096:E1036104 E1036132:E1036140 E1036168:E1036176 E1036204:E1036212 E1036240:E1036248 E1036276:E1036284 E1036312:E1036320 E1036348:E1036356 E1036384:E1036392 E1036420:E1036428 E1036456:E1036464 E1036492:E1036500 E1036528:E1036536 E1036564:E1036572 E1036600:E1036608 E1036636:E1036644 E1036672:E1036680 E1036708:E1036716 E1036744:E1036752 E1036780:E1036788 E1036816:E1036824 E1036852:E1036860 E1036888:E1036896 E1036924:E1036932 E1036960:E1036968 E1036996:E1037004 E1037032:E1037040 E1037068:E1037076 E1037104:E1037112 E1037140:E1037148 E1037176:E1037184 E1037212:E1037220 E1037248:E1037256 E1037284:E1037292 E1037320:E1037328 E1037356:E1037364 E1037392:E1037400 E1037428:E1037436 E1037464:E1037472 E1037500:E1037508 E1037536:E1037544 E1037572:E1037580 E1037608:E1037616 E1037644:E1037652 E1037680:E1037688 E1037716:E1037724 E1037752:E1037760 E1037788:E1037796 E1037824:E1037832 E1037860:E1037868 E1037896:E1037904 E1037932:E1037940 E1037968:E1037976 E1038004:E1038012 E1038040:E1038048 E1038076:E1038084 E1038112:E1038120 E1038148:E1038156 E1038184:E1038192 E1038220:E1038228 E1038256:E1038264 E1038292:E1038300 E1038328:E1038336 E1038364:E1038372 E1038400:E1038408 E1038436:E1038444 E1038472:E1038480 E1038508:E1038516 E1038544:E1038552 E1038580:E1038588 E1038616:E1038624 E1038652:E1038660 E1038688:E1038696 E1038724:E1038732 E1038760:E1038768 E1038796:E1038804 E1038832:E1038840 E1038868:E1038876 E1038904:E1038912 E1038940:E1038948 E1038976:E1038984 E1039012:E1039020 E1039048:E1039056 E1039084:E1039092 E1039120:E1039128 E1039156:E1039164 E1039192:E1039200 E1039228:E1039236 E1039264:E1039272 E1039300:E1039308 E1039336:E1039344 E1039372:E1039380 E1039408:E1039416 E1039444:E1039452 E1039480:E1039488 E1039516:E1039524 E1039552:E1039560 E1039588:E1039596 E1039624:E1039632 E1039660:E1039668 E1039696:E1039704 E1039732:E1039740 E1039768:E1039776 E1039804:E1039812 E1039840:E1039848 E1039876:E1039884 E1039912:E1039920 E1039948:E1039956 E1039984:E1039992 E1040020:E1040028 E1040056:E1040064 E1040092:E1040100 E1040128:E1040136 E1040164:E1040172 E1040200:E1040208 E1040236:E1040244 E1040272:E1040280 E1040308:E1040316 E1040344:E1040352 E1040380:E1040388 E1040416:E1040424 E1040452:E1040460 E1040488:E1040496 E1040524:E1040532 E1040560:E1040568 E1040596:E1040604 E1040632:E1040640 E1040668:E1040676 E1040704:E1040712 E1040740:E1040748 E1040776:E1040784 E1040812:E1040820 E1040848:E1040856 E1040884:E1040892 E1040920:E1040928 E1040956:E1040964 E1040992:E1041000 E1041028:E1041036 E1041064:E1041072 E1041100:E1041108 E1041136:E1041144 E1041172:E1041180 E1041208:E1041216 E1041244:E1041252 E1041280:E1041288 E1041316:E1041324 E1041352:E1041360 E1041388:E1041396 E1041424:E1041432 E1041460:E1041468 E1041496:E1041504 E1041532:E1041540 E1041568:E1041576 E1041604:E1041612 E1041640:E1041648 E1041676:E1041684 E1041712:E1041720 E1041748:E1041756 E1041784:E1041792 E1041820:E1041828 E1041856:E1041864 E1041892:E1041900 E1041928:E1041936 E1041964:E1041972 E1042000:E1042008 E1042036:E1042044 E1042072:E1042080 E1042108:E1042116 E1042144:E1042152 E1042180:E1042188 E1042216:E1042224 E1042252:E1042260 E1042288:E1042296 E1042324:E1042332 E1042360:E1042368 E1042396:E1042404 E1042432:E1042440 E1042468:E1042476 E1042504:E1042512 E1042540:E1042548 E1042576:E1042584 E1042612:E1042620 E1042648:E1042656 E1042684:E1042692 E1042720:E1042728 E1042756:E1042764 E1042792:E1042800 E1042828:E1042836 E1042864:E1042872 E1042900:E1042908 E1042936:E1042944 E1042972:E1042980 E1043008:E1043016 E1043044:E1043052 E1043080:E1043088 E1043116:E1043124 E1043152:E1043160 E1043188:E1043196 E1043224:E1043232 E1043260:E1043268 E1043296:E1043304 E1043332:E1043340 E1043368:E1043376 E1043404:E1043412 E1043440:E1043448 E1043476:E1043484 E1043512:E1043520 E1043548:E1043556 E1043584:E1043592 E1043620:E1043628 E1043656:E1043664 E1043692:E1043700 E1043728:E1043736 E1043764:E1043772 E1043800:E1043808 E1043836:E1043844 E1043872:E1043880 E1043908:E1043916 E1043944:E1043952 E1043980:E1043988 E1044016:E1044024 E1044052:E1044060 E1044088:E1044096 E1044124:E1044132 E1044160:E1044168 E1044196:E1044204 E1044232:E1044240 E1044268:E1044276 E1044304:E1044312 E1044340:E1044348 E1044376:E1044384 E1044412:E1044420 E1044448:E1044456 E1044484:E1044492 E1044520:E1044528 E1044556:E1044564 E1044592:E1044600 E1044628:E1044636 E1044664:E1044672 E1044700:E1044708 E1044736:E1044744 E1044772:E1044780 E1044808:E1044816 E1044844:E1044852 E1044880:E1044888 E1044916:E1044924 E1044952:E1044960 E1044988:E1044996 E1045024:E1045032 E1045060:E1045068 E1045096:E1045104 E1045132:E1045140 E1045168:E1045176 E1045204:E1045212 E1045240:E1045248 E1045276:E1045284 E1045312:E1045320 E1045348:E1045356 E1045384:E1045392 E1045420:E1045428 E1045456:E1045464 E1045492:E1045500 E1045528:E1045536 E1045564:E1045572 E1045600:E1045608 E1045636:E1045644 E1045672:E1045680 E1045708:E1045716 E1045744:E1045752 E1045780:E1045788 E1045816:E1045824 E1045852:E1045860 E1045888:E1045896 E1045924:E1045932 E1045960:E1045968 E1045996:E1046004 E1046032:E1046040 E1046068:E1046076 E1046104:E1046112 E1046140:E1046148 E1046176:E1046184 E1046212:E1046220 E1046248:E1046256 E1046284:E1046292 E1046320:E1046328 E1046356:E1046364 E1046392:E1046400 E1046428:E1046436 E1046464:E1046472 E1046500:E1046508 E1046536:E1046544 E1046572:E1046580 E1046608:E1046616 E1046644:E1046652 E1046680:E1046688 E1046716:E1046724 E1046752:E1046760 E1046788:E1046796 E1046824:E1046832 E1046860:E1046868 E1046896:E1046904 E1046932:E1046940 E1046968:E1046976 E1047004:E1047012 E1047040:E1047048 E1047076:E1047084 E1047112:E1047120 E1047148:E1047156 E1047184:E1047192 E1047220:E1047228 E1047256:E1047264 E1047292:E1047300 E1047328:E1047336 E1047364:E1047372 E1047400:E1047408 E1047436:E1047444 E1047472:E1047480 E1047508:E1047516 E1047544:E1047552 E1047580:E1047588 E1047616:E1047624 E1047652:E1047660 E1047688:E1047696 E1047724:E1047732 E1047760:E1047768 E1047796:E1047804 E1047832:E1047840 E1047868:E1047876 E1047904:E1047912 E1047940:E1047948 E1047976:E1047984 E1048012:E1048020 E1048048:E1048056 E1048084:E1048092 E1048120:E1048128 E1048156:E1048164 E1048192:E1048200 E1048228:E1048236 E1048264:E1048272 E1048300:E1048308 E1048336:E1048344 E1048372:E1048380 E1048408:E1048416 E1048444:E1048452 E1048480:E1048488 E1048516:E1048524 E1048552:E1048560</xm:sqref>
        </x14:conditionalFormatting>
        <x14:conditionalFormatting xmlns:xm="http://schemas.microsoft.com/office/excel/2006/main">
          <x14:cfRule type="dataBar" priority="10" id="{1AD0760E-8682-4223-A6D3-9F320C5786FB}">
            <x14:dataBar minLength="0" maxLength="100" direction="leftToRight">
              <x14:cfvo type="percent">
                <xm:f>0</xm:f>
              </x14:cfvo>
              <x14:cfvo type="percent">
                <xm:f>100</xm:f>
              </x14:cfvo>
              <x14:fillColor theme="8" tint="-0.249977111117893"/>
              <x14:negativeFillColor rgb="FFFF0000"/>
              <x14:axisColor rgb="FF000000"/>
            </x14:dataBar>
          </x14:cfRule>
          <xm:sqref>E40:E48 E76:E84 E112:E120 E148:E156 E184:E192 E220:E228 E256:E264 E292:E300 E328:E336 E364:E372 E400:E408 E436:E444 E472:E480 E508:E516 E544:E552 E580:E588 E616:E624 E652:E660 E688:E696 E724:E732 E760:E768 E796:E804 E832:E840 E868:E876 E904:E912 E940:E948 E976:E984 E1012:E1020 E1048:E1056 E1084:E1092 E1120:E1128 E1156:E1164 E1192:E1200 E1228:E1236 E1264:E1272 E1300:E1308 E1336:E1344 E1372:E1380 E1408:E1416 E1444:E1452 E1480:E1488 E1516:E1524 E1552:E1560 E1588:E1596 E1624:E1632 E1660:E1668 E1696:E1704 E1732:E1740 E1768:E1776 E1804:E1812 E1840:E1848 E1876:E1884 E1912:E1920 E1948:E1956 E1984:E1992 E2020:E2028 E2056:E2064 E2092:E2100 E2128:E2136 E2164:E2172 E2200:E2208 E2236:E2244 E2272:E2280 E2308:E2316 E2344:E2352 E2380:E2388 E2416:E2424 E2452:E2460 E2488:E2496 E2524:E2532 E2560:E2568 E2596:E2604 E2632:E2640 E2668:E2676 E2704:E2712 E2740:E2748 E2776:E2784 E2812:E2820 E2848:E2856 E2884:E2892 E2920:E2928 E2956:E2964 E2992:E3000 E3028:E3036 E3064:E3072 E3100:E3108 E3136:E3144 E3172:E3180 E3208:E3216 E3244:E3252 E3280:E3288 E3316:E3324 E3352:E3360 E3388:E3396 E3424:E3432 E3460:E3468 E3496:E3504 E3532:E3540 E3568:E3576 E3604:E3612 E3640:E3648 E3676:E3684 E3712:E3720 E3748:E3756 E3784:E3792 E3820:E3828 E3856:E3864 E3892:E3900 E3928:E3936 E3964:E3972 E4000:E4008 E4036:E4044 E4072:E4080 E4108:E4116 E4144:E4152 E4180:E4188 E4216:E4224 E4252:E4260 E4288:E4296 E4324:E4332 E4360:E4368 E4396:E4404 E4432:E4440 E4468:E4476 E4504:E4512 E4540:E4548 E4576:E4584 E4612:E4620 E4648:E4656 E4684:E4692 E4720:E4728 E4756:E4764 E4792:E4800 E4828:E4836 E4864:E4872 E4900:E4908 E4936:E4944 E4972:E4980 E5008:E5016 E5044:E5052 E5080:E5088 E5116:E5124 E5152:E5160 E5188:E5196 E5224:E5232 E5260:E5268 E5296:E5304 E5332:E5340 E5368:E5376 E5404:E5412 E5440:E5448 E5476:E5484 E5512:E5520 E5548:E5556 E5584:E5592 E5620:E5628 E5656:E5664 E5692:E5700 E5728:E5736 E5764:E5772 E5800:E5808 E5836:E5844 E5872:E5880 E5908:E5916 E5944:E5952 E5980:E5988 E6016:E6024 E6052:E6060 E6088:E6096 E6124:E6132 E6160:E6168 E6196:E6204 E6232:E6240 E6268:E6276 E6304:E6312 E6340:E6348 E6376:E6384 E6412:E6420 E6448:E6456 E6484:E6492 E6520:E6528 E6556:E6564 E6592:E6600 E6628:E6636 E6664:E6672 E6700:E6708 E6736:E6744 E6772:E6780 E6808:E6816 E6844:E6852 E6880:E6888 E6916:E6924 E6952:E6960 E6988:E6996 E7024:E7032 E7060:E7068 E7096:E7104 E7132:E7140 E7168:E7176 E7204:E7212 E7240:E7248 E7276:E7284 E7312:E7320 E7348:E7356 E7384:E7392 E7420:E7428 E7456:E7464 E7492:E7500 E7528:E7536 E7564:E7572 E7600:E7608 E7636:E7644 E7672:E7680 E7708:E7716 E7744:E7752 E7780:E7788 E7816:E7824 E7852:E7860 E7888:E7896 E7924:E7932 E7960:E7968 E7996:E8004 E8032:E8040 E8068:E8076 E8104:E8112 E8140:E8148 E8176:E8184 E8212:E8220 E8248:E8256 E8284:E8292 E8320:E8328 E8356:E8364 E8392:E8400 E8428:E8436 E8464:E8472 E8500:E8508 E8536:E8544 E8572:E8580 E8608:E8616 E8644:E8652 E8680:E8688 E8716:E8724 E8752:E8760 E8788:E8796 E8824:E8832 E8860:E8868 E8896:E8904 E8932:E8940 E8968:E8976 E9004:E9012 E9040:E9048 E9076:E9084 E9112:E9120 E9148:E9156 E9184:E9192 E9220:E9228 E9256:E9264 E9292:E9300 E9328:E9336 E9364:E9372 E9400:E9408 E9436:E9444 E9472:E9480 E9508:E9516 E9544:E9552 E9580:E9588 E9616:E9624 E9652:E9660 E9688:E9696 E9724:E9732 E9760:E9768 E9796:E9804 E9832:E9840 E9868:E9876 E9904:E9912 E9940:E9948 E9976:E9984 E10012:E10020 E10048:E10056 E10084:E10092 E10120:E10128 E10156:E10164 E10192:E10200 E10228:E10236 E10264:E10272 E10300:E10308 E10336:E10344 E10372:E10380 E10408:E10416 E10444:E10452 E10480:E10488 E10516:E10524 E10552:E10560 E10588:E10596 E10624:E10632 E10660:E10668 E10696:E10704 E10732:E10740 E10768:E10776 E10804:E10812 E10840:E10848 E10876:E10884 E10912:E10920 E10948:E10956 E10984:E10992 E11020:E11028 E11056:E11064 E11092:E11100 E11128:E11136 E11164:E11172 E11200:E11208 E11236:E11244 E11272:E11280 E11308:E11316 E11344:E11352 E11380:E11388 E11416:E11424 E11452:E11460 E11488:E11496 E11524:E11532 E11560:E11568 E11596:E11604 E11632:E11640 E11668:E11676 E11704:E11712 E11740:E11748 E11776:E11784 E11812:E11820 E11848:E11856 E11884:E11892 E11920:E11928 E11956:E11964 E11992:E12000 E12028:E12036 E12064:E12072 E12100:E12108 E12136:E12144 E12172:E12180 E12208:E12216 E12244:E12252 E12280:E12288 E12316:E12324 E12352:E12360 E12388:E12396 E12424:E12432 E12460:E12468 E12496:E12504 E12532:E12540 E12568:E12576 E12604:E12612 E12640:E12648 E12676:E12684 E12712:E12720 E12748:E12756 E12784:E12792 E12820:E12828 E12856:E12864 E12892:E12900 E12928:E12936 E12964:E12972 E13000:E13008 E13036:E13044 E13072:E13080 E13108:E13116 E13144:E13152 E13180:E13188 E13216:E13224 E13252:E13260 E13288:E13296 E13324:E13332 E13360:E13368 E13396:E13404 E13432:E13440 E13468:E13476 E13504:E13512 E13540:E13548 E13576:E13584 E13612:E13620 E13648:E13656 E13684:E13692 E13720:E13728 E13756:E13764 E13792:E13800 E13828:E13836 E13864:E13872 E13900:E13908 E13936:E13944 E13972:E13980 E14008:E14016 E14044:E14052 E14080:E14088 E14116:E14124 E14152:E14160 E14188:E14196 E14224:E14232 E14260:E14268 E14296:E14304 E14332:E14340 E14368:E14376 E14404:E14412 E14440:E14448 E14476:E14484 E14512:E14520 E14548:E14556 E14584:E14592 E14620:E14628 E14656:E14664 E14692:E14700 E14728:E14736 E14764:E14772 E14800:E14808 E14836:E14844 E14872:E14880 E14908:E14916 E14944:E14952 E14980:E14988 E15016:E15024 E15052:E15060 E15088:E15096 E15124:E15132 E15160:E15168 E15196:E15204 E15232:E15240 E15268:E15276 E15304:E15312 E15340:E15348 E15376:E15384 E15412:E15420 E15448:E15456 E15484:E15492 E15520:E15528 E15556:E15564 E15592:E15600 E15628:E15636 E15664:E15672 E15700:E15708 E15736:E15744 E15772:E15780 E15808:E15816 E15844:E15852 E15880:E15888 E15916:E15924 E15952:E15960 E15988:E15996 E16024:E16032 E16060:E16068 E16096:E16104 E16132:E16140 E16168:E16176 E16204:E16212 E16240:E16248 E16276:E16284 E16312:E16320 E16348:E16356 E16384:E16392 E16420:E16428 E16456:E16464 E16492:E16500 E16528:E16536 E16564:E16572 E16600:E16608 E16636:E16644 E16672:E16680 E16708:E16716 E16744:E16752 E16780:E16788 E16816:E16824 E16852:E16860 E16888:E16896 E16924:E16932 E16960:E16968 E16996:E17004 E17032:E17040 E17068:E17076 E17104:E17112 E17140:E17148 E17176:E17184 E17212:E17220 E17248:E17256 E17284:E17292 E17320:E17328 E17356:E17364 E17392:E17400 E17428:E17436 E17464:E17472 E17500:E17508 E17536:E17544 E17572:E17580 E17608:E17616 E17644:E17652 E17680:E17688 E17716:E17724 E17752:E17760 E17788:E17796 E17824:E17832 E17860:E17868 E17896:E17904 E17932:E17940 E17968:E17976 E18004:E18012 E18040:E18048 E18076:E18084 E18112:E18120 E18148:E18156 E18184:E18192 E18220:E18228 E18256:E18264 E18292:E18300 E18328:E18336 E18364:E18372 E18400:E18408 E18436:E18444 E18472:E18480 E18508:E18516 E18544:E18552 E18580:E18588 E18616:E18624 E18652:E18660 E18688:E18696 E18724:E18732 E18760:E18768 E18796:E18804 E18832:E18840 E18868:E18876 E18904:E18912 E18940:E18948 E18976:E18984 E19012:E19020 E19048:E19056 E19084:E19092 E19120:E19128 E19156:E19164 E19192:E19200 E19228:E19236 E19264:E19272 E19300:E19308 E19336:E19344 E19372:E19380 E19408:E19416 E19444:E19452 E19480:E19488 E19516:E19524 E19552:E19560 E19588:E19596 E19624:E19632 E19660:E19668 E19696:E19704 E19732:E19740 E19768:E19776 E19804:E19812 E19840:E19848 E19876:E19884 E19912:E19920 E19948:E19956 E19984:E19992 E20020:E20028 E20056:E20064 E20092:E20100 E20128:E20136 E20164:E20172 E20200:E20208 E20236:E20244 E20272:E20280 E20308:E20316 E20344:E20352 E20380:E20388 E20416:E20424 E20452:E20460 E20488:E20496 E20524:E20532 E20560:E20568 E20596:E20604 E20632:E20640 E20668:E20676 E20704:E20712 E20740:E20748 E20776:E20784 E20812:E20820 E20848:E20856 E20884:E20892 E20920:E20928 E20956:E20964 E20992:E21000 E21028:E21036 E21064:E21072 E21100:E21108 E21136:E21144 E21172:E21180 E21208:E21216 E21244:E21252 E21280:E21288 E21316:E21324 E21352:E21360 E21388:E21396 E21424:E21432 E21460:E21468 E21496:E21504 E21532:E21540 E21568:E21576 E21604:E21612 E21640:E21648 E21676:E21684 E21712:E21720 E21748:E21756 E21784:E21792 E21820:E21828 E21856:E21864 E21892:E21900 E21928:E21936 E21964:E21972 E22000:E22008 E22036:E22044 E22072:E22080 E22108:E22116 E22144:E22152 E22180:E22188 E22216:E22224 E22252:E22260 E22288:E22296 E22324:E22332 E22360:E22368 E22396:E22404 E22432:E22440 E22468:E22476 E22504:E22512 E22540:E22548 E22576:E22584 E22612:E22620 E22648:E22656 E22684:E22692 E22720:E22728 E22756:E22764 E22792:E22800 E22828:E22836 E22864:E22872 E22900:E22908 E22936:E22944 E22972:E22980 E23008:E23016 E23044:E23052 E23080:E23088 E23116:E23124 E23152:E23160 E23188:E23196 E23224:E23232 E23260:E23268 E23296:E23304 E23332:E23340 E23368:E23376 E23404:E23412 E23440:E23448 E23476:E23484 E23512:E23520 E23548:E23556 E23584:E23592 E23620:E23628 E23656:E23664 E23692:E23700 E23728:E23736 E23764:E23772 E23800:E23808 E23836:E23844 E23872:E23880 E23908:E23916 E23944:E23952 E23980:E23988 E24016:E24024 E24052:E24060 E24088:E24096 E24124:E24132 E24160:E24168 E24196:E24204 E24232:E24240 E24268:E24276 E24304:E24312 E24340:E24348 E24376:E24384 E24412:E24420 E24448:E24456 E24484:E24492 E24520:E24528 E24556:E24564 E24592:E24600 E24628:E24636 E24664:E24672 E24700:E24708 E24736:E24744 E24772:E24780 E24808:E24816 E24844:E24852 E24880:E24888 E24916:E24924 E24952:E24960 E24988:E24996 E25024:E25032 E25060:E25068 E25096:E25104 E25132:E25140 E25168:E25176 E25204:E25212 E25240:E25248 E25276:E25284 E25312:E25320 E25348:E25356 E25384:E25392 E25420:E25428 E25456:E25464 E25492:E25500 E25528:E25536 E25564:E25572 E25600:E25608 E25636:E25644 E25672:E25680 E25708:E25716 E25744:E25752 E25780:E25788 E25816:E25824 E25852:E25860 E25888:E25896 E25924:E25932 E25960:E25968 E25996:E26004 E26032:E26040 E26068:E26076 E26104:E26112 E26140:E26148 E26176:E26184 E26212:E26220 E26248:E26256 E26284:E26292 E26320:E26328 E26356:E26364 E26392:E26400 E26428:E26436 E26464:E26472 E26500:E26508 E26536:E26544 E26572:E26580 E26608:E26616 E26644:E26652 E26680:E26688 E26716:E26724 E26752:E26760 E26788:E26796 E26824:E26832 E26860:E26868 E26896:E26904 E26932:E26940 E26968:E26976 E27004:E27012 E27040:E27048 E27076:E27084 E27112:E27120 E27148:E27156 E27184:E27192 E27220:E27228 E27256:E27264 E27292:E27300 E27328:E27336 E27364:E27372 E27400:E27408 E27436:E27444 E27472:E27480 E27508:E27516 E27544:E27552 E27580:E27588 E27616:E27624 E27652:E27660 E27688:E27696 E27724:E27732 E27760:E27768 E27796:E27804 E27832:E27840 E27868:E27876 E27904:E27912 E27940:E27948 E27976:E27984 E28012:E28020 E28048:E28056 E28084:E28092 E28120:E28128 E28156:E28164 E28192:E28200 E28228:E28236 E28264:E28272 E28300:E28308 E28336:E28344 E28372:E28380 E28408:E28416 E28444:E28452 E28480:E28488 E28516:E28524 E28552:E28560 E28588:E28596 E28624:E28632 E28660:E28668 E28696:E28704 E28732:E28740 E28768:E28776 E28804:E28812 E28840:E28848 E28876:E28884 E28912:E28920 E28948:E28956 E28984:E28992 E29020:E29028 E29056:E29064 E29092:E29100 E29128:E29136 E29164:E29172 E29200:E29208 E29236:E29244 E29272:E29280 E29308:E29316 E29344:E29352 E29380:E29388 E29416:E29424 E29452:E29460 E29488:E29496 E29524:E29532 E29560:E29568 E29596:E29604 E29632:E29640 E29668:E29676 E29704:E29712 E29740:E29748 E29776:E29784 E29812:E29820 E29848:E29856 E29884:E29892 E29920:E29928 E29956:E29964 E29992:E30000 E30028:E30036 E30064:E30072 E30100:E30108 E30136:E30144 E30172:E30180 E30208:E30216 E30244:E30252 E30280:E30288 E30316:E30324 E30352:E30360 E30388:E30396 E30424:E30432 E30460:E30468 E30496:E30504 E30532:E30540 E30568:E30576 E30604:E30612 E30640:E30648 E30676:E30684 E30712:E30720 E30748:E30756 E30784:E30792 E30820:E30828 E30856:E30864 E30892:E30900 E30928:E30936 E30964:E30972 E31000:E31008 E31036:E31044 E31072:E31080 E31108:E31116 E31144:E31152 E31180:E31188 E31216:E31224 E31252:E31260 E31288:E31296 E31324:E31332 E31360:E31368 E31396:E31404 E31432:E31440 E31468:E31476 E31504:E31512 E31540:E31548 E31576:E31584 E31612:E31620 E31648:E31656 E31684:E31692 E31720:E31728 E31756:E31764 E31792:E31800 E31828:E31836 E31864:E31872 E31900:E31908 E31936:E31944 E31972:E31980 E32008:E32016 E32044:E32052 E32080:E32088 E32116:E32124 E32152:E32160 E32188:E32196 E32224:E32232 E32260:E32268 E32296:E32304 E32332:E32340 E32368:E32376 E32404:E32412 E32440:E32448 E32476:E32484 E32512:E32520 E32548:E32556 E32584:E32592 E32620:E32628 E32656:E32664 E32692:E32700 E32728:E32736 E32764:E32772 E32800:E32808 E32836:E32844 E32872:E32880 E32908:E32916 E32944:E32952 E32980:E32988 E33016:E33024 E33052:E33060 E33088:E33096 E33124:E33132 E33160:E33168 E33196:E33204 E33232:E33240 E33268:E33276 E33304:E33312 E33340:E33348 E33376:E33384 E33412:E33420 E33448:E33456 E33484:E33492 E33520:E33528 E33556:E33564 E33592:E33600 E33628:E33636 E33664:E33672 E33700:E33708 E33736:E33744 E33772:E33780 E33808:E33816 E33844:E33852 E33880:E33888 E33916:E33924 E33952:E33960 E33988:E33996 E34024:E34032 E34060:E34068 E34096:E34104 E34132:E34140 E34168:E34176 E34204:E34212 E34240:E34248 E34276:E34284 E34312:E34320 E34348:E34356 E34384:E34392 E34420:E34428 E34456:E34464 E34492:E34500 E34528:E34536 E34564:E34572 E34600:E34608 E34636:E34644 E34672:E34680 E34708:E34716 E34744:E34752 E34780:E34788 E34816:E34824 E34852:E34860 E34888:E34896 E34924:E34932 E34960:E34968 E34996:E35004 E35032:E35040 E35068:E35076 E35104:E35112 E35140:E35148 E35176:E35184 E35212:E35220 E35248:E35256 E35284:E35292 E35320:E35328 E35356:E35364 E35392:E35400 E35428:E35436 E35464:E35472 E35500:E35508 E35536:E35544 E35572:E35580 E35608:E35616 E35644:E35652 E35680:E35688 E35716:E35724 E35752:E35760 E35788:E35796 E35824:E35832 E35860:E35868 E35896:E35904 E35932:E35940 E35968:E35976 E36004:E36012 E36040:E36048 E36076:E36084 E36112:E36120 E36148:E36156 E36184:E36192 E36220:E36228 E36256:E36264 E36292:E36300 E36328:E36336 E36364:E36372 E36400:E36408 E36436:E36444 E36472:E36480 E36508:E36516 E36544:E36552 E36580:E36588 E36616:E36624 E36652:E36660 E36688:E36696 E36724:E36732 E36760:E36768 E36796:E36804 E36832:E36840 E36868:E36876 E36904:E36912 E36940:E36948 E36976:E36984 E37012:E37020 E37048:E37056 E37084:E37092 E37120:E37128 E37156:E37164 E37192:E37200 E37228:E37236 E37264:E37272 E37300:E37308 E37336:E37344 E37372:E37380 E37408:E37416 E37444:E37452 E37480:E37488 E37516:E37524 E37552:E37560 E37588:E37596 E37624:E37632 E37660:E37668 E37696:E37704 E37732:E37740 E37768:E37776 E37804:E37812 E37840:E37848 E37876:E37884 E37912:E37920 E37948:E37956 E37984:E37992 E38020:E38028 E38056:E38064 E38092:E38100 E38128:E38136 E38164:E38172 E38200:E38208 E38236:E38244 E38272:E38280 E38308:E38316 E38344:E38352 E38380:E38388 E38416:E38424 E38452:E38460 E38488:E38496 E38524:E38532 E38560:E38568 E38596:E38604 E38632:E38640 E38668:E38676 E38704:E38712 E38740:E38748 E38776:E38784 E38812:E38820 E38848:E38856 E38884:E38892 E38920:E38928 E38956:E38964 E38992:E39000 E39028:E39036 E39064:E39072 E39100:E39108 E39136:E39144 E39172:E39180 E39208:E39216 E39244:E39252 E39280:E39288 E39316:E39324 E39352:E39360 E39388:E39396 E39424:E39432 E39460:E39468 E39496:E39504 E39532:E39540 E39568:E39576 E39604:E39612 E39640:E39648 E39676:E39684 E39712:E39720 E39748:E39756 E39784:E39792 E39820:E39828 E39856:E39864 E39892:E39900 E39928:E39936 E39964:E39972 E40000:E40008 E40036:E40044 E40072:E40080 E40108:E40116 E40144:E40152 E40180:E40188 E40216:E40224 E40252:E40260 E40288:E40296 E40324:E40332 E40360:E40368 E40396:E40404 E40432:E40440 E40468:E40476 E40504:E40512 E40540:E40548 E40576:E40584 E40612:E40620 E40648:E40656 E40684:E40692 E40720:E40728 E40756:E40764 E40792:E40800 E40828:E40836 E40864:E40872 E40900:E40908 E40936:E40944 E40972:E40980 E41008:E41016 E41044:E41052 E41080:E41088 E41116:E41124 E41152:E41160 E41188:E41196 E41224:E41232 E41260:E41268 E41296:E41304 E41332:E41340 E41368:E41376 E41404:E41412 E41440:E41448 E41476:E41484 E41512:E41520 E41548:E41556 E41584:E41592 E41620:E41628 E41656:E41664 E41692:E41700 E41728:E41736 E41764:E41772 E41800:E41808 E41836:E41844 E41872:E41880 E41908:E41916 E41944:E41952 E41980:E41988 E42016:E42024 E42052:E42060 E42088:E42096 E42124:E42132 E42160:E42168 E42196:E42204 E42232:E42240 E42268:E42276 E42304:E42312 E42340:E42348 E42376:E42384 E42412:E42420 E42448:E42456 E42484:E42492 E42520:E42528 E42556:E42564 E42592:E42600 E42628:E42636 E42664:E42672 E42700:E42708 E42736:E42744 E42772:E42780 E42808:E42816 E42844:E42852 E42880:E42888 E42916:E42924 E42952:E42960 E42988:E42996 E43024:E43032 E43060:E43068 E43096:E43104 E43132:E43140 E43168:E43176 E43204:E43212 E43240:E43248 E43276:E43284 E43312:E43320 E43348:E43356 E43384:E43392 E43420:E43428 E43456:E43464 E43492:E43500 E43528:E43536 E43564:E43572 E43600:E43608 E43636:E43644 E43672:E43680 E43708:E43716 E43744:E43752 E43780:E43788 E43816:E43824 E43852:E43860 E43888:E43896 E43924:E43932 E43960:E43968 E43996:E44004 E44032:E44040 E44068:E44076 E44104:E44112 E44140:E44148 E44176:E44184 E44212:E44220 E44248:E44256 E44284:E44292 E44320:E44328 E44356:E44364 E44392:E44400 E44428:E44436 E44464:E44472 E44500:E44508 E44536:E44544 E44572:E44580 E44608:E44616 E44644:E44652 E44680:E44688 E44716:E44724 E44752:E44760 E44788:E44796 E44824:E44832 E44860:E44868 E44896:E44904 E44932:E44940 E44968:E44976 E45004:E45012 E45040:E45048 E45076:E45084 E45112:E45120 E45148:E45156 E45184:E45192 E45220:E45228 E45256:E45264 E45292:E45300 E45328:E45336 E45364:E45372 E45400:E45408 E45436:E45444 E45472:E45480 E45508:E45516 E45544:E45552 E45580:E45588 E45616:E45624 E45652:E45660 E45688:E45696 E45724:E45732 E45760:E45768 E45796:E45804 E45832:E45840 E45868:E45876 E45904:E45912 E45940:E45948 E45976:E45984 E46012:E46020 E46048:E46056 E46084:E46092 E46120:E46128 E46156:E46164 E46192:E46200 E46228:E46236 E46264:E46272 E46300:E46308 E46336:E46344 E46372:E46380 E46408:E46416 E46444:E46452 E46480:E46488 E46516:E46524 E46552:E46560 E46588:E46596 E46624:E46632 E46660:E46668 E46696:E46704 E46732:E46740 E46768:E46776 E46804:E46812 E46840:E46848 E46876:E46884 E46912:E46920 E46948:E46956 E46984:E46992 E47020:E47028 E47056:E47064 E47092:E47100 E47128:E47136 E47164:E47172 E47200:E47208 E47236:E47244 E47272:E47280 E47308:E47316 E47344:E47352 E47380:E47388 E47416:E47424 E47452:E47460 E47488:E47496 E47524:E47532 E47560:E47568 E47596:E47604 E47632:E47640 E47668:E47676 E47704:E47712 E47740:E47748 E47776:E47784 E47812:E47820 E47848:E47856 E47884:E47892 E47920:E47928 E47956:E47964 E47992:E48000 E48028:E48036 E48064:E48072 E48100:E48108 E48136:E48144 E48172:E48180 E48208:E48216 E48244:E48252 E48280:E48288 E48316:E48324 E48352:E48360 E48388:E48396 E48424:E48432 E48460:E48468 E48496:E48504 E48532:E48540 E48568:E48576 E48604:E48612 E48640:E48648 E48676:E48684 E48712:E48720 E48748:E48756 E48784:E48792 E48820:E48828 E48856:E48864 E48892:E48900 E48928:E48936 E48964:E48972 E49000:E49008 E49036:E49044 E49072:E49080 E49108:E49116 E49144:E49152 E49180:E49188 E49216:E49224 E49252:E49260 E49288:E49296 E49324:E49332 E49360:E49368 E49396:E49404 E49432:E49440 E49468:E49476 E49504:E49512 E49540:E49548 E49576:E49584 E49612:E49620 E49648:E49656 E49684:E49692 E49720:E49728 E49756:E49764 E49792:E49800 E49828:E49836 E49864:E49872 E49900:E49908 E49936:E49944 E49972:E49980 E50008:E50016 E50044:E50052 E50080:E50088 E50116:E50124 E50152:E50160 E50188:E50196 E50224:E50232 E50260:E50268 E50296:E50304 E50332:E50340 E50368:E50376 E50404:E50412 E50440:E50448 E50476:E50484 E50512:E50520 E50548:E50556 E50584:E50592 E50620:E50628 E50656:E50664 E50692:E50700 E50728:E50736 E50764:E50772 E50800:E50808 E50836:E50844 E50872:E50880 E50908:E50916 E50944:E50952 E50980:E50988 E51016:E51024 E51052:E51060 E51088:E51096 E51124:E51132 E51160:E51168 E51196:E51204 E51232:E51240 E51268:E51276 E51304:E51312 E51340:E51348 E51376:E51384 E51412:E51420 E51448:E51456 E51484:E51492 E51520:E51528 E51556:E51564 E51592:E51600 E51628:E51636 E51664:E51672 E51700:E51708 E51736:E51744 E51772:E51780 E51808:E51816 E51844:E51852 E51880:E51888 E51916:E51924 E51952:E51960 E51988:E51996 E52024:E52032 E52060:E52068 E52096:E52104 E52132:E52140 E52168:E52176 E52204:E52212 E52240:E52248 E52276:E52284 E52312:E52320 E52348:E52356 E52384:E52392 E52420:E52428 E52456:E52464 E52492:E52500 E52528:E52536 E52564:E52572 E52600:E52608 E52636:E52644 E52672:E52680 E52708:E52716 E52744:E52752 E52780:E52788 E52816:E52824 E52852:E52860 E52888:E52896 E52924:E52932 E52960:E52968 E52996:E53004 E53032:E53040 E53068:E53076 E53104:E53112 E53140:E53148 E53176:E53184 E53212:E53220 E53248:E53256 E53284:E53292 E53320:E53328 E53356:E53364 E53392:E53400 E53428:E53436 E53464:E53472 E53500:E53508 E53536:E53544 E53572:E53580 E53608:E53616 E53644:E53652 E53680:E53688 E53716:E53724 E53752:E53760 E53788:E53796 E53824:E53832 E53860:E53868 E53896:E53904 E53932:E53940 E53968:E53976 E54004:E54012 E54040:E54048 E54076:E54084 E54112:E54120 E54148:E54156 E54184:E54192 E54220:E54228 E54256:E54264 E54292:E54300 E54328:E54336 E54364:E54372 E54400:E54408 E54436:E54444 E54472:E54480 E54508:E54516 E54544:E54552 E54580:E54588 E54616:E54624 E54652:E54660 E54688:E54696 E54724:E54732 E54760:E54768 E54796:E54804 E54832:E54840 E54868:E54876 E54904:E54912 E54940:E54948 E54976:E54984 E55012:E55020 E55048:E55056 E55084:E55092 E55120:E55128 E55156:E55164 E55192:E55200 E55228:E55236 E55264:E55272 E55300:E55308 E55336:E55344 E55372:E55380 E55408:E55416 E55444:E55452 E55480:E55488 E55516:E55524 E55552:E55560 E55588:E55596 E55624:E55632 E55660:E55668 E55696:E55704 E55732:E55740 E55768:E55776 E55804:E55812 E55840:E55848 E55876:E55884 E55912:E55920 E55948:E55956 E55984:E55992 E56020:E56028 E56056:E56064 E56092:E56100 E56128:E56136 E56164:E56172 E56200:E56208 E56236:E56244 E56272:E56280 E56308:E56316 E56344:E56352 E56380:E56388 E56416:E56424 E56452:E56460 E56488:E56496 E56524:E56532 E56560:E56568 E56596:E56604 E56632:E56640 E56668:E56676 E56704:E56712 E56740:E56748 E56776:E56784 E56812:E56820 E56848:E56856 E56884:E56892 E56920:E56928 E56956:E56964 E56992:E57000 E57028:E57036 E57064:E57072 E57100:E57108 E57136:E57144 E57172:E57180 E57208:E57216 E57244:E57252 E57280:E57288 E57316:E57324 E57352:E57360 E57388:E57396 E57424:E57432 E57460:E57468 E57496:E57504 E57532:E57540 E57568:E57576 E57604:E57612 E57640:E57648 E57676:E57684 E57712:E57720 E57748:E57756 E57784:E57792 E57820:E57828 E57856:E57864 E57892:E57900 E57928:E57936 E57964:E57972 E58000:E58008 E58036:E58044 E58072:E58080 E58108:E58116 E58144:E58152 E58180:E58188 E58216:E58224 E58252:E58260 E58288:E58296 E58324:E58332 E58360:E58368 E58396:E58404 E58432:E58440 E58468:E58476 E58504:E58512 E58540:E58548 E58576:E58584 E58612:E58620 E58648:E58656 E58684:E58692 E58720:E58728 E58756:E58764 E58792:E58800 E58828:E58836 E58864:E58872 E58900:E58908 E58936:E58944 E58972:E58980 E59008:E59016 E59044:E59052 E59080:E59088 E59116:E59124 E59152:E59160 E59188:E59196 E59224:E59232 E59260:E59268 E59296:E59304 E59332:E59340 E59368:E59376 E59404:E59412 E59440:E59448 E59476:E59484 E59512:E59520 E59548:E59556 E59584:E59592 E59620:E59628 E59656:E59664 E59692:E59700 E59728:E59736 E59764:E59772 E59800:E59808 E59836:E59844 E59872:E59880 E59908:E59916 E59944:E59952 E59980:E59988 E60016:E60024 E60052:E60060 E60088:E60096 E60124:E60132 E60160:E60168 E60196:E60204 E60232:E60240 E60268:E60276 E60304:E60312 E60340:E60348 E60376:E60384 E60412:E60420 E60448:E60456 E60484:E60492 E60520:E60528 E60556:E60564 E60592:E60600 E60628:E60636 E60664:E60672 E60700:E60708 E60736:E60744 E60772:E60780 E60808:E60816 E60844:E60852 E60880:E60888 E60916:E60924 E60952:E60960 E60988:E60996 E61024:E61032 E61060:E61068 E61096:E61104 E61132:E61140 E61168:E61176 E61204:E61212 E61240:E61248 E61276:E61284 E61312:E61320 E61348:E61356 E61384:E61392 E61420:E61428 E61456:E61464 E61492:E61500 E61528:E61536 E61564:E61572 E61600:E61608 E61636:E61644 E61672:E61680 E61708:E61716 E61744:E61752 E61780:E61788 E61816:E61824 E61852:E61860 E61888:E61896 E61924:E61932 E61960:E61968 E61996:E62004 E62032:E62040 E62068:E62076 E62104:E62112 E62140:E62148 E62176:E62184 E62212:E62220 E62248:E62256 E62284:E62292 E62320:E62328 E62356:E62364 E62392:E62400 E62428:E62436 E62464:E62472 E62500:E62508 E62536:E62544 E62572:E62580 E62608:E62616 E62644:E62652 E62680:E62688 E62716:E62724 E62752:E62760 E62788:E62796 E62824:E62832 E62860:E62868 E62896:E62904 E62932:E62940 E62968:E62976 E63004:E63012 E63040:E63048 E63076:E63084 E63112:E63120 E63148:E63156 E63184:E63192 E63220:E63228 E63256:E63264 E63292:E63300 E63328:E63336 E63364:E63372 E63400:E63408 E63436:E63444 E63472:E63480 E63508:E63516 E63544:E63552 E63580:E63588 E63616:E63624 E63652:E63660 E63688:E63696 E63724:E63732 E63760:E63768 E63796:E63804 E63832:E63840 E63868:E63876 E63904:E63912 E63940:E63948 E63976:E63984 E64012:E64020 E64048:E64056 E64084:E64092 E64120:E64128 E64156:E64164 E64192:E64200 E64228:E64236 E64264:E64272 E64300:E64308 E64336:E64344 E64372:E64380 E64408:E64416 E64444:E64452 E64480:E64488 E64516:E64524 E64552:E64560 E64588:E64596 E64624:E64632 E64660:E64668 E64696:E64704 E64732:E64740 E64768:E64776 E64804:E64812 E64840:E64848 E64876:E64884 E64912:E64920 E64948:E64956 E64984:E64992 E65020:E65028 E65056:E65064 E65092:E65100 E65128:E65136 E65164:E65172 E65200:E65208 E65236:E65244 E65272:E65280 E65308:E65316 E65344:E65352 E65380:E65388 E65416:E65424 E65452:E65460 E65488:E65496 E65524:E65532 E65560:E65568 E65596:E65604 E65632:E65640 E65668:E65676 E65704:E65712 E65740:E65748 E65776:E65784 E65812:E65820 E65848:E65856 E65884:E65892 E65920:E65928 E65956:E65964 E65992:E66000 E66028:E66036 E66064:E66072 E66100:E66108 E66136:E66144 E66172:E66180 E66208:E66216 E66244:E66252 E66280:E66288 E66316:E66324 E66352:E66360 E66388:E66396 E66424:E66432 E66460:E66468 E66496:E66504 E66532:E66540 E66568:E66576 E66604:E66612 E66640:E66648 E66676:E66684 E66712:E66720 E66748:E66756 E66784:E66792 E66820:E66828 E66856:E66864 E66892:E66900 E66928:E66936 E66964:E66972 E67000:E67008 E67036:E67044 E67072:E67080 E67108:E67116 E67144:E67152 E67180:E67188 E67216:E67224 E67252:E67260 E67288:E67296 E67324:E67332 E67360:E67368 E67396:E67404 E67432:E67440 E67468:E67476 E67504:E67512 E67540:E67548 E67576:E67584 E67612:E67620 E67648:E67656 E67684:E67692 E67720:E67728 E67756:E67764 E67792:E67800 E67828:E67836 E67864:E67872 E67900:E67908 E67936:E67944 E67972:E67980 E68008:E68016 E68044:E68052 E68080:E68088 E68116:E68124 E68152:E68160 E68188:E68196 E68224:E68232 E68260:E68268 E68296:E68304 E68332:E68340 E68368:E68376 E68404:E68412 E68440:E68448 E68476:E68484 E68512:E68520 E68548:E68556 E68584:E68592 E68620:E68628 E68656:E68664 E68692:E68700 E68728:E68736 E68764:E68772 E68800:E68808 E68836:E68844 E68872:E68880 E68908:E68916 E68944:E68952 E68980:E68988 E69016:E69024 E69052:E69060 E69088:E69096 E69124:E69132 E69160:E69168 E69196:E69204 E69232:E69240 E69268:E69276 E69304:E69312 E69340:E69348 E69376:E69384 E69412:E69420 E69448:E69456 E69484:E69492 E69520:E69528 E69556:E69564 E69592:E69600 E69628:E69636 E69664:E69672 E69700:E69708 E69736:E69744 E69772:E69780 E69808:E69816 E69844:E69852 E69880:E69888 E69916:E69924 E69952:E69960 E69988:E69996 E70024:E70032 E70060:E70068 E70096:E70104 E70132:E70140 E70168:E70176 E70204:E70212 E70240:E70248 E70276:E70284 E70312:E70320 E70348:E70356 E70384:E70392 E70420:E70428 E70456:E70464 E70492:E70500 E70528:E70536 E70564:E70572 E70600:E70608 E70636:E70644 E70672:E70680 E70708:E70716 E70744:E70752 E70780:E70788 E70816:E70824 E70852:E70860 E70888:E70896 E70924:E70932 E70960:E70968 E70996:E71004 E71032:E71040 E71068:E71076 E71104:E71112 E71140:E71148 E71176:E71184 E71212:E71220 E71248:E71256 E71284:E71292 E71320:E71328 E71356:E71364 E71392:E71400 E71428:E71436 E71464:E71472 E71500:E71508 E71536:E71544 E71572:E71580 E71608:E71616 E71644:E71652 E71680:E71688 E71716:E71724 E71752:E71760 E71788:E71796 E71824:E71832 E71860:E71868 E71896:E71904 E71932:E71940 E71968:E71976 E72004:E72012 E72040:E72048 E72076:E72084 E72112:E72120 E72148:E72156 E72184:E72192 E72220:E72228 E72256:E72264 E72292:E72300 E72328:E72336 E72364:E72372 E72400:E72408 E72436:E72444 E72472:E72480 E72508:E72516 E72544:E72552 E72580:E72588 E72616:E72624 E72652:E72660 E72688:E72696 E72724:E72732 E72760:E72768 E72796:E72804 E72832:E72840 E72868:E72876 E72904:E72912 E72940:E72948 E72976:E72984 E73012:E73020 E73048:E73056 E73084:E73092 E73120:E73128 E73156:E73164 E73192:E73200 E73228:E73236 E73264:E73272 E73300:E73308 E73336:E73344 E73372:E73380 E73408:E73416 E73444:E73452 E73480:E73488 E73516:E73524 E73552:E73560 E73588:E73596 E73624:E73632 E73660:E73668 E73696:E73704 E73732:E73740 E73768:E73776 E73804:E73812 E73840:E73848 E73876:E73884 E73912:E73920 E73948:E73956 E73984:E73992 E74020:E74028 E74056:E74064 E74092:E74100 E74128:E74136 E74164:E74172 E74200:E74208 E74236:E74244 E74272:E74280 E74308:E74316 E74344:E74352 E74380:E74388 E74416:E74424 E74452:E74460 E74488:E74496 E74524:E74532 E74560:E74568 E74596:E74604 E74632:E74640 E74668:E74676 E74704:E74712 E74740:E74748 E74776:E74784 E74812:E74820 E74848:E74856 E74884:E74892 E74920:E74928 E74956:E74964 E74992:E75000 E75028:E75036 E75064:E75072 E75100:E75108 E75136:E75144 E75172:E75180 E75208:E75216 E75244:E75252 E75280:E75288 E75316:E75324 E75352:E75360 E75388:E75396 E75424:E75432 E75460:E75468 E75496:E75504 E75532:E75540 E75568:E75576 E75604:E75612 E75640:E75648 E75676:E75684 E75712:E75720 E75748:E75756 E75784:E75792 E75820:E75828 E75856:E75864 E75892:E75900 E75928:E75936 E75964:E75972 E76000:E76008 E76036:E76044 E76072:E76080 E76108:E76116 E76144:E76152 E76180:E76188 E76216:E76224 E76252:E76260 E76288:E76296 E76324:E76332 E76360:E76368 E76396:E76404 E76432:E76440 E76468:E76476 E76504:E76512 E76540:E76548 E76576:E76584 E76612:E76620 E76648:E76656 E76684:E76692 E76720:E76728 E76756:E76764 E76792:E76800 E76828:E76836 E76864:E76872 E76900:E76908 E76936:E76944 E76972:E76980 E77008:E77016 E77044:E77052 E77080:E77088 E77116:E77124 E77152:E77160 E77188:E77196 E77224:E77232 E77260:E77268 E77296:E77304 E77332:E77340 E77368:E77376 E77404:E77412 E77440:E77448 E77476:E77484 E77512:E77520 E77548:E77556 E77584:E77592 E77620:E77628 E77656:E77664 E77692:E77700 E77728:E77736 E77764:E77772 E77800:E77808 E77836:E77844 E77872:E77880 E77908:E77916 E77944:E77952 E77980:E77988 E78016:E78024 E78052:E78060 E78088:E78096 E78124:E78132 E78160:E78168 E78196:E78204 E78232:E78240 E78268:E78276 E78304:E78312 E78340:E78348 E78376:E78384 E78412:E78420 E78448:E78456 E78484:E78492 E78520:E78528 E78556:E78564 E78592:E78600 E78628:E78636 E78664:E78672 E78700:E78708 E78736:E78744 E78772:E78780 E78808:E78816 E78844:E78852 E78880:E78888 E78916:E78924 E78952:E78960 E78988:E78996 E79024:E79032 E79060:E79068 E79096:E79104 E79132:E79140 E79168:E79176 E79204:E79212 E79240:E79248 E79276:E79284 E79312:E79320 E79348:E79356 E79384:E79392 E79420:E79428 E79456:E79464 E79492:E79500 E79528:E79536 E79564:E79572 E79600:E79608 E79636:E79644 E79672:E79680 E79708:E79716 E79744:E79752 E79780:E79788 E79816:E79824 E79852:E79860 E79888:E79896 E79924:E79932 E79960:E79968 E79996:E80004 E80032:E80040 E80068:E80076 E80104:E80112 E80140:E80148 E80176:E80184 E80212:E80220 E80248:E80256 E80284:E80292 E80320:E80328 E80356:E80364 E80392:E80400 E80428:E80436 E80464:E80472 E80500:E80508 E80536:E80544 E80572:E80580 E80608:E80616 E80644:E80652 E80680:E80688 E80716:E80724 E80752:E80760 E80788:E80796 E80824:E80832 E80860:E80868 E80896:E80904 E80932:E80940 E80968:E80976 E81004:E81012 E81040:E81048 E81076:E81084 E81112:E81120 E81148:E81156 E81184:E81192 E81220:E81228 E81256:E81264 E81292:E81300 E81328:E81336 E81364:E81372 E81400:E81408 E81436:E81444 E81472:E81480 E81508:E81516 E81544:E81552 E81580:E81588 E81616:E81624 E81652:E81660 E81688:E81696 E81724:E81732 E81760:E81768 E81796:E81804 E81832:E81840 E81868:E81876 E81904:E81912 E81940:E81948 E81976:E81984 E82012:E82020 E82048:E82056 E82084:E82092 E82120:E82128 E82156:E82164 E82192:E82200 E82228:E82236 E82264:E82272 E82300:E82308 E82336:E82344 E82372:E82380 E82408:E82416 E82444:E82452 E82480:E82488 E82516:E82524 E82552:E82560 E82588:E82596 E82624:E82632 E82660:E82668 E82696:E82704 E82732:E82740 E82768:E82776 E82804:E82812 E82840:E82848 E82876:E82884 E82912:E82920 E82948:E82956 E82984:E82992 E83020:E83028 E83056:E83064 E83092:E83100 E83128:E83136 E83164:E83172 E83200:E83208 E83236:E83244 E83272:E83280 E83308:E83316 E83344:E83352 E83380:E83388 E83416:E83424 E83452:E83460 E83488:E83496 E83524:E83532 E83560:E83568 E83596:E83604 E83632:E83640 E83668:E83676 E83704:E83712 E83740:E83748 E83776:E83784 E83812:E83820 E83848:E83856 E83884:E83892 E83920:E83928 E83956:E83964 E83992:E84000 E84028:E84036 E84064:E84072 E84100:E84108 E84136:E84144 E84172:E84180 E84208:E84216 E84244:E84252 E84280:E84288 E84316:E84324 E84352:E84360 E84388:E84396 E84424:E84432 E84460:E84468 E84496:E84504 E84532:E84540 E84568:E84576 E84604:E84612 E84640:E84648 E84676:E84684 E84712:E84720 E84748:E84756 E84784:E84792 E84820:E84828 E84856:E84864 E84892:E84900 E84928:E84936 E84964:E84972 E85000:E85008 E85036:E85044 E85072:E85080 E85108:E85116 E85144:E85152 E85180:E85188 E85216:E85224 E85252:E85260 E85288:E85296 E85324:E85332 E85360:E85368 E85396:E85404 E85432:E85440 E85468:E85476 E85504:E85512 E85540:E85548 E85576:E85584 E85612:E85620 E85648:E85656 E85684:E85692 E85720:E85728 E85756:E85764 E85792:E85800 E85828:E85836 E85864:E85872 E85900:E85908 E85936:E85944 E85972:E85980 E86008:E86016 E86044:E86052 E86080:E86088 E86116:E86124 E86152:E86160 E86188:E86196 E86224:E86232 E86260:E86268 E86296:E86304 E86332:E86340 E86368:E86376 E86404:E86412 E86440:E86448 E86476:E86484 E86512:E86520 E86548:E86556 E86584:E86592 E86620:E86628 E86656:E86664 E86692:E86700 E86728:E86736 E86764:E86772 E86800:E86808 E86836:E86844 E86872:E86880 E86908:E86916 E86944:E86952 E86980:E86988 E87016:E87024 E87052:E87060 E87088:E87096 E87124:E87132 E87160:E87168 E87196:E87204 E87232:E87240 E87268:E87276 E87304:E87312 E87340:E87348 E87376:E87384 E87412:E87420 E87448:E87456 E87484:E87492 E87520:E87528 E87556:E87564 E87592:E87600 E87628:E87636 E87664:E87672 E87700:E87708 E87736:E87744 E87772:E87780 E87808:E87816 E87844:E87852 E87880:E87888 E87916:E87924 E87952:E87960 E87988:E87996 E88024:E88032 E88060:E88068 E88096:E88104 E88132:E88140 E88168:E88176 E88204:E88212 E88240:E88248 E88276:E88284 E88312:E88320 E88348:E88356 E88384:E88392 E88420:E88428 E88456:E88464 E88492:E88500 E88528:E88536 E88564:E88572 E88600:E88608 E88636:E88644 E88672:E88680 E88708:E88716 E88744:E88752 E88780:E88788 E88816:E88824 E88852:E88860 E88888:E88896 E88924:E88932 E88960:E88968 E88996:E89004 E89032:E89040 E89068:E89076 E89104:E89112 E89140:E89148 E89176:E89184 E89212:E89220 E89248:E89256 E89284:E89292 E89320:E89328 E89356:E89364 E89392:E89400 E89428:E89436 E89464:E89472 E89500:E89508 E89536:E89544 E89572:E89580 E89608:E89616 E89644:E89652 E89680:E89688 E89716:E89724 E89752:E89760 E89788:E89796 E89824:E89832 E89860:E89868 E89896:E89904 E89932:E89940 E89968:E89976 E90004:E90012 E90040:E90048 E90076:E90084 E90112:E90120 E90148:E90156 E90184:E90192 E90220:E90228 E90256:E90264 E90292:E90300 E90328:E90336 E90364:E90372 E90400:E90408 E90436:E90444 E90472:E90480 E90508:E90516 E90544:E90552 E90580:E90588 E90616:E90624 E90652:E90660 E90688:E90696 E90724:E90732 E90760:E90768 E90796:E90804 E90832:E90840 E90868:E90876 E90904:E90912 E90940:E90948 E90976:E90984 E91012:E91020 E91048:E91056 E91084:E91092 E91120:E91128 E91156:E91164 E91192:E91200 E91228:E91236 E91264:E91272 E91300:E91308 E91336:E91344 E91372:E91380 E91408:E91416 E91444:E91452 E91480:E91488 E91516:E91524 E91552:E91560 E91588:E91596 E91624:E91632 E91660:E91668 E91696:E91704 E91732:E91740 E91768:E91776 E91804:E91812 E91840:E91848 E91876:E91884 E91912:E91920 E91948:E91956 E91984:E91992 E92020:E92028 E92056:E92064 E92092:E92100 E92128:E92136 E92164:E92172 E92200:E92208 E92236:E92244 E92272:E92280 E92308:E92316 E92344:E92352 E92380:E92388 E92416:E92424 E92452:E92460 E92488:E92496 E92524:E92532 E92560:E92568 E92596:E92604 E92632:E92640 E92668:E92676 E92704:E92712 E92740:E92748 E92776:E92784 E92812:E92820 E92848:E92856 E92884:E92892 E92920:E92928 E92956:E92964 E92992:E93000 E93028:E93036 E93064:E93072 E93100:E93108 E93136:E93144 E93172:E93180 E93208:E93216 E93244:E93252 E93280:E93288 E93316:E93324 E93352:E93360 E93388:E93396 E93424:E93432 E93460:E93468 E93496:E93504 E93532:E93540 E93568:E93576 E93604:E93612 E93640:E93648 E93676:E93684 E93712:E93720 E93748:E93756 E93784:E93792 E93820:E93828 E93856:E93864 E93892:E93900 E93928:E93936 E93964:E93972 E94000:E94008 E94036:E94044 E94072:E94080 E94108:E94116 E94144:E94152 E94180:E94188 E94216:E94224 E94252:E94260 E94288:E94296 E94324:E94332 E94360:E94368 E94396:E94404 E94432:E94440 E94468:E94476 E94504:E94512 E94540:E94548 E94576:E94584 E94612:E94620 E94648:E94656 E94684:E94692 E94720:E94728 E94756:E94764 E94792:E94800 E94828:E94836 E94864:E94872 E94900:E94908 E94936:E94944 E94972:E94980 E95008:E95016 E95044:E95052 E95080:E95088 E95116:E95124 E95152:E95160 E95188:E95196 E95224:E95232 E95260:E95268 E95296:E95304 E95332:E95340 E95368:E95376 E95404:E95412 E95440:E95448 E95476:E95484 E95512:E95520 E95548:E95556 E95584:E95592 E95620:E95628 E95656:E95664 E95692:E95700 E95728:E95736 E95764:E95772 E95800:E95808 E95836:E95844 E95872:E95880 E95908:E95916 E95944:E95952 E95980:E95988 E96016:E96024 E96052:E96060 E96088:E96096 E96124:E96132 E96160:E96168 E96196:E96204 E96232:E96240 E96268:E96276 E96304:E96312 E96340:E96348 E96376:E96384 E96412:E96420 E96448:E96456 E96484:E96492 E96520:E96528 E96556:E96564 E96592:E96600 E96628:E96636 E96664:E96672 E96700:E96708 E96736:E96744 E96772:E96780 E96808:E96816 E96844:E96852 E96880:E96888 E96916:E96924 E96952:E96960 E96988:E96996 E97024:E97032 E97060:E97068 E97096:E97104 E97132:E97140 E97168:E97176 E97204:E97212 E97240:E97248 E97276:E97284 E97312:E97320 E97348:E97356 E97384:E97392 E97420:E97428 E97456:E97464 E97492:E97500 E97528:E97536 E97564:E97572 E97600:E97608 E97636:E97644 E97672:E97680 E97708:E97716 E97744:E97752 E97780:E97788 E97816:E97824 E97852:E97860 E97888:E97896 E97924:E97932 E97960:E97968 E97996:E98004 E98032:E98040 E98068:E98076 E98104:E98112 E98140:E98148 E98176:E98184 E98212:E98220 E98248:E98256 E98284:E98292 E98320:E98328 E98356:E98364 E98392:E98400 E98428:E98436 E98464:E98472 E98500:E98508 E98536:E98544 E98572:E98580 E98608:E98616 E98644:E98652 E98680:E98688 E98716:E98724 E98752:E98760 E98788:E98796 E98824:E98832 E98860:E98868 E98896:E98904 E98932:E98940 E98968:E98976 E99004:E99012 E99040:E99048 E99076:E99084 E99112:E99120 E99148:E99156 E99184:E99192 E99220:E99228 E99256:E99264 E99292:E99300 E99328:E99336 E99364:E99372 E99400:E99408 E99436:E99444 E99472:E99480 E99508:E99516 E99544:E99552 E99580:E99588 E99616:E99624 E99652:E99660 E99688:E99696 E99724:E99732 E99760:E99768 E99796:E99804 E99832:E99840 E99868:E99876 E99904:E99912 E99940:E99948 E99976:E99984 E100012:E100020 E100048:E100056 E100084:E100092 E100120:E100128 E100156:E100164 E100192:E100200 E100228:E100236 E100264:E100272 E100300:E100308 E100336:E100344 E100372:E100380 E100408:E100416 E100444:E100452 E100480:E100488 E100516:E100524 E100552:E100560 E100588:E100596 E100624:E100632 E100660:E100668 E100696:E100704 E100732:E100740 E100768:E100776 E100804:E100812 E100840:E100848 E100876:E100884 E100912:E100920 E100948:E100956 E100984:E100992 E101020:E101028 E101056:E101064 E101092:E101100 E101128:E101136 E101164:E101172 E101200:E101208 E101236:E101244 E101272:E101280 E101308:E101316 E101344:E101352 E101380:E101388 E101416:E101424 E101452:E101460 E101488:E101496 E101524:E101532 E101560:E101568 E101596:E101604 E101632:E101640 E101668:E101676 E101704:E101712 E101740:E101748 E101776:E101784 E101812:E101820 E101848:E101856 E101884:E101892 E101920:E101928 E101956:E101964 E101992:E102000 E102028:E102036 E102064:E102072 E102100:E102108 E102136:E102144 E102172:E102180 E102208:E102216 E102244:E102252 E102280:E102288 E102316:E102324 E102352:E102360 E102388:E102396 E102424:E102432 E102460:E102468 E102496:E102504 E102532:E102540 E102568:E102576 E102604:E102612 E102640:E102648 E102676:E102684 E102712:E102720 E102748:E102756 E102784:E102792 E102820:E102828 E102856:E102864 E102892:E102900 E102928:E102936 E102964:E102972 E103000:E103008 E103036:E103044 E103072:E103080 E103108:E103116 E103144:E103152 E103180:E103188 E103216:E103224 E103252:E103260 E103288:E103296 E103324:E103332 E103360:E103368 E103396:E103404 E103432:E103440 E103468:E103476 E103504:E103512 E103540:E103548 E103576:E103584 E103612:E103620 E103648:E103656 E103684:E103692 E103720:E103728 E103756:E103764 E103792:E103800 E103828:E103836 E103864:E103872 E103900:E103908 E103936:E103944 E103972:E103980 E104008:E104016 E104044:E104052 E104080:E104088 E104116:E104124 E104152:E104160 E104188:E104196 E104224:E104232 E104260:E104268 E104296:E104304 E104332:E104340 E104368:E104376 E104404:E104412 E104440:E104448 E104476:E104484 E104512:E104520 E104548:E104556 E104584:E104592 E104620:E104628 E104656:E104664 E104692:E104700 E104728:E104736 E104764:E104772 E104800:E104808 E104836:E104844 E104872:E104880 E104908:E104916 E104944:E104952 E104980:E104988 E105016:E105024 E105052:E105060 E105088:E105096 E105124:E105132 E105160:E105168 E105196:E105204 E105232:E105240 E105268:E105276 E105304:E105312 E105340:E105348 E105376:E105384 E105412:E105420 E105448:E105456 E105484:E105492 E105520:E105528 E105556:E105564 E105592:E105600 E105628:E105636 E105664:E105672 E105700:E105708 E105736:E105744 E105772:E105780 E105808:E105816 E105844:E105852 E105880:E105888 E105916:E105924 E105952:E105960 E105988:E105996 E106024:E106032 E106060:E106068 E106096:E106104 E106132:E106140 E106168:E106176 E106204:E106212 E106240:E106248 E106276:E106284 E106312:E106320 E106348:E106356 E106384:E106392 E106420:E106428 E106456:E106464 E106492:E106500 E106528:E106536 E106564:E106572 E106600:E106608 E106636:E106644 E106672:E106680 E106708:E106716 E106744:E106752 E106780:E106788 E106816:E106824 E106852:E106860 E106888:E106896 E106924:E106932 E106960:E106968 E106996:E107004 E107032:E107040 E107068:E107076 E107104:E107112 E107140:E107148 E107176:E107184 E107212:E107220 E107248:E107256 E107284:E107292 E107320:E107328 E107356:E107364 E107392:E107400 E107428:E107436 E107464:E107472 E107500:E107508 E107536:E107544 E107572:E107580 E107608:E107616 E107644:E107652 E107680:E107688 E107716:E107724 E107752:E107760 E107788:E107796 E107824:E107832 E107860:E107868 E107896:E107904 E107932:E107940 E107968:E107976 E108004:E108012 E108040:E108048 E108076:E108084 E108112:E108120 E108148:E108156 E108184:E108192 E108220:E108228 E108256:E108264 E108292:E108300 E108328:E108336 E108364:E108372 E108400:E108408 E108436:E108444 E108472:E108480 E108508:E108516 E108544:E108552 E108580:E108588 E108616:E108624 E108652:E108660 E108688:E108696 E108724:E108732 E108760:E108768 E108796:E108804 E108832:E108840 E108868:E108876 E108904:E108912 E108940:E108948 E108976:E108984 E109012:E109020 E109048:E109056 E109084:E109092 E109120:E109128 E109156:E109164 E109192:E109200 E109228:E109236 E109264:E109272 E109300:E109308 E109336:E109344 E109372:E109380 E109408:E109416 E109444:E109452 E109480:E109488 E109516:E109524 E109552:E109560 E109588:E109596 E109624:E109632 E109660:E109668 E109696:E109704 E109732:E109740 E109768:E109776 E109804:E109812 E109840:E109848 E109876:E109884 E109912:E109920 E109948:E109956 E109984:E109992 E110020:E110028 E110056:E110064 E110092:E110100 E110128:E110136 E110164:E110172 E110200:E110208 E110236:E110244 E110272:E110280 E110308:E110316 E110344:E110352 E110380:E110388 E110416:E110424 E110452:E110460 E110488:E110496 E110524:E110532 E110560:E110568 E110596:E110604 E110632:E110640 E110668:E110676 E110704:E110712 E110740:E110748 E110776:E110784 E110812:E110820 E110848:E110856 E110884:E110892 E110920:E110928 E110956:E110964 E110992:E111000 E111028:E111036 E111064:E111072 E111100:E111108 E111136:E111144 E111172:E111180 E111208:E111216 E111244:E111252 E111280:E111288 E111316:E111324 E111352:E111360 E111388:E111396 E111424:E111432 E111460:E111468 E111496:E111504 E111532:E111540 E111568:E111576 E111604:E111612 E111640:E111648 E111676:E111684 E111712:E111720 E111748:E111756 E111784:E111792 E111820:E111828 E111856:E111864 E111892:E111900 E111928:E111936 E111964:E111972 E112000:E112008 E112036:E112044 E112072:E112080 E112108:E112116 E112144:E112152 E112180:E112188 E112216:E112224 E112252:E112260 E112288:E112296 E112324:E112332 E112360:E112368 E112396:E112404 E112432:E112440 E112468:E112476 E112504:E112512 E112540:E112548 E112576:E112584 E112612:E112620 E112648:E112656 E112684:E112692 E112720:E112728 E112756:E112764 E112792:E112800 E112828:E112836 E112864:E112872 E112900:E112908 E112936:E112944 E112972:E112980 E113008:E113016 E113044:E113052 E113080:E113088 E113116:E113124 E113152:E113160 E113188:E113196 E113224:E113232 E113260:E113268 E113296:E113304 E113332:E113340 E113368:E113376 E113404:E113412 E113440:E113448 E113476:E113484 E113512:E113520 E113548:E113556 E113584:E113592 E113620:E113628 E113656:E113664 E113692:E113700 E113728:E113736 E113764:E113772 E113800:E113808 E113836:E113844 E113872:E113880 E113908:E113916 E113944:E113952 E113980:E113988 E114016:E114024 E114052:E114060 E114088:E114096 E114124:E114132 E114160:E114168 E114196:E114204 E114232:E114240 E114268:E114276 E114304:E114312 E114340:E114348 E114376:E114384 E114412:E114420 E114448:E114456 E114484:E114492 E114520:E114528 E114556:E114564 E114592:E114600 E114628:E114636 E114664:E114672 E114700:E114708 E114736:E114744 E114772:E114780 E114808:E114816 E114844:E114852 E114880:E114888 E114916:E114924 E114952:E114960 E114988:E114996 E115024:E115032 E115060:E115068 E115096:E115104 E115132:E115140 E115168:E115176 E115204:E115212 E115240:E115248 E115276:E115284 E115312:E115320 E115348:E115356 E115384:E115392 E115420:E115428 E115456:E115464 E115492:E115500 E115528:E115536 E115564:E115572 E115600:E115608 E115636:E115644 E115672:E115680 E115708:E115716 E115744:E115752 E115780:E115788 E115816:E115824 E115852:E115860 E115888:E115896 E115924:E115932 E115960:E115968 E115996:E116004 E116032:E116040 E116068:E116076 E116104:E116112 E116140:E116148 E116176:E116184 E116212:E116220 E116248:E116256 E116284:E116292 E116320:E116328 E116356:E116364 E116392:E116400 E116428:E116436 E116464:E116472 E116500:E116508 E116536:E116544 E116572:E116580 E116608:E116616 E116644:E116652 E116680:E116688 E116716:E116724 E116752:E116760 E116788:E116796 E116824:E116832 E116860:E116868 E116896:E116904 E116932:E116940 E116968:E116976 E117004:E117012 E117040:E117048 E117076:E117084 E117112:E117120 E117148:E117156 E117184:E117192 E117220:E117228 E117256:E117264 E117292:E117300 E117328:E117336 E117364:E117372 E117400:E117408 E117436:E117444 E117472:E117480 E117508:E117516 E117544:E117552 E117580:E117588 E117616:E117624 E117652:E117660 E117688:E117696 E117724:E117732 E117760:E117768 E117796:E117804 E117832:E117840 E117868:E117876 E117904:E117912 E117940:E117948 E117976:E117984 E118012:E118020 E118048:E118056 E118084:E118092 E118120:E118128 E118156:E118164 E118192:E118200 E118228:E118236 E118264:E118272 E118300:E118308 E118336:E118344 E118372:E118380 E118408:E118416 E118444:E118452 E118480:E118488 E118516:E118524 E118552:E118560 E118588:E118596 E118624:E118632 E118660:E118668 E118696:E118704 E118732:E118740 E118768:E118776 E118804:E118812 E118840:E118848 E118876:E118884 E118912:E118920 E118948:E118956 E118984:E118992 E119020:E119028 E119056:E119064 E119092:E119100 E119128:E119136 E119164:E119172 E119200:E119208 E119236:E119244 E119272:E119280 E119308:E119316 E119344:E119352 E119380:E119388 E119416:E119424 E119452:E119460 E119488:E119496 E119524:E119532 E119560:E119568 E119596:E119604 E119632:E119640 E119668:E119676 E119704:E119712 E119740:E119748 E119776:E119784 E119812:E119820 E119848:E119856 E119884:E119892 E119920:E119928 E119956:E119964 E119992:E120000 E120028:E120036 E120064:E120072 E120100:E120108 E120136:E120144 E120172:E120180 E120208:E120216 E120244:E120252 E120280:E120288 E120316:E120324 E120352:E120360 E120388:E120396 E120424:E120432 E120460:E120468 E120496:E120504 E120532:E120540 E120568:E120576 E120604:E120612 E120640:E120648 E120676:E120684 E120712:E120720 E120748:E120756 E120784:E120792 E120820:E120828 E120856:E120864 E120892:E120900 E120928:E120936 E120964:E120972 E121000:E121008 E121036:E121044 E121072:E121080 E121108:E121116 E121144:E121152 E121180:E121188 E121216:E121224 E121252:E121260 E121288:E121296 E121324:E121332 E121360:E121368 E121396:E121404 E121432:E121440 E121468:E121476 E121504:E121512 E121540:E121548 E121576:E121584 E121612:E121620 E121648:E121656 E121684:E121692 E121720:E121728 E121756:E121764 E121792:E121800 E121828:E121836 E121864:E121872 E121900:E121908 E121936:E121944 E121972:E121980 E122008:E122016 E122044:E122052 E122080:E122088 E122116:E122124 E122152:E122160 E122188:E122196 E122224:E122232 E122260:E122268 E122296:E122304 E122332:E122340 E122368:E122376 E122404:E122412 E122440:E122448 E122476:E122484 E122512:E122520 E122548:E122556 E122584:E122592 E122620:E122628 E122656:E122664 E122692:E122700 E122728:E122736 E122764:E122772 E122800:E122808 E122836:E122844 E122872:E122880 E122908:E122916 E122944:E122952 E122980:E122988 E123016:E123024 E123052:E123060 E123088:E123096 E123124:E123132 E123160:E123168 E123196:E123204 E123232:E123240 E123268:E123276 E123304:E123312 E123340:E123348 E123376:E123384 E123412:E123420 E123448:E123456 E123484:E123492 E123520:E123528 E123556:E123564 E123592:E123600 E123628:E123636 E123664:E123672 E123700:E123708 E123736:E123744 E123772:E123780 E123808:E123816 E123844:E123852 E123880:E123888 E123916:E123924 E123952:E123960 E123988:E123996 E124024:E124032 E124060:E124068 E124096:E124104 E124132:E124140 E124168:E124176 E124204:E124212 E124240:E124248 E124276:E124284 E124312:E124320 E124348:E124356 E124384:E124392 E124420:E124428 E124456:E124464 E124492:E124500 E124528:E124536 E124564:E124572 E124600:E124608 E124636:E124644 E124672:E124680 E124708:E124716 E124744:E124752 E124780:E124788 E124816:E124824 E124852:E124860 E124888:E124896 E124924:E124932 E124960:E124968 E124996:E125004 E125032:E125040 E125068:E125076 E125104:E125112 E125140:E125148 E125176:E125184 E125212:E125220 E125248:E125256 E125284:E125292 E125320:E125328 E125356:E125364 E125392:E125400 E125428:E125436 E125464:E125472 E125500:E125508 E125536:E125544 E125572:E125580 E125608:E125616 E125644:E125652 E125680:E125688 E125716:E125724 E125752:E125760 E125788:E125796 E125824:E125832 E125860:E125868 E125896:E125904 E125932:E125940 E125968:E125976 E126004:E126012 E126040:E126048 E126076:E126084 E126112:E126120 E126148:E126156 E126184:E126192 E126220:E126228 E126256:E126264 E126292:E126300 E126328:E126336 E126364:E126372 E126400:E126408 E126436:E126444 E126472:E126480 E126508:E126516 E126544:E126552 E126580:E126588 E126616:E126624 E126652:E126660 E126688:E126696 E126724:E126732 E126760:E126768 E126796:E126804 E126832:E126840 E126868:E126876 E126904:E126912 E126940:E126948 E126976:E126984 E127012:E127020 E127048:E127056 E127084:E127092 E127120:E127128 E127156:E127164 E127192:E127200 E127228:E127236 E127264:E127272 E127300:E127308 E127336:E127344 E127372:E127380 E127408:E127416 E127444:E127452 E127480:E127488 E127516:E127524 E127552:E127560 E127588:E127596 E127624:E127632 E127660:E127668 E127696:E127704 E127732:E127740 E127768:E127776 E127804:E127812 E127840:E127848 E127876:E127884 E127912:E127920 E127948:E127956 E127984:E127992 E128020:E128028 E128056:E128064 E128092:E128100 E128128:E128136 E128164:E128172 E128200:E128208 E128236:E128244 E128272:E128280 E128308:E128316 E128344:E128352 E128380:E128388 E128416:E128424 E128452:E128460 E128488:E128496 E128524:E128532 E128560:E128568 E128596:E128604 E128632:E128640 E128668:E128676 E128704:E128712 E128740:E128748 E128776:E128784 E128812:E128820 E128848:E128856 E128884:E128892 E128920:E128928 E128956:E128964 E128992:E129000 E129028:E129036 E129064:E129072 E129100:E129108 E129136:E129144 E129172:E129180 E129208:E129216 E129244:E129252 E129280:E129288 E129316:E129324 E129352:E129360 E129388:E129396 E129424:E129432 E129460:E129468 E129496:E129504 E129532:E129540 E129568:E129576 E129604:E129612 E129640:E129648 E129676:E129684 E129712:E129720 E129748:E129756 E129784:E129792 E129820:E129828 E129856:E129864 E129892:E129900 E129928:E129936 E129964:E129972 E130000:E130008 E130036:E130044 E130072:E130080 E130108:E130116 E130144:E130152 E130180:E130188 E130216:E130224 E130252:E130260 E130288:E130296 E130324:E130332 E130360:E130368 E130396:E130404 E130432:E130440 E130468:E130476 E130504:E130512 E130540:E130548 E130576:E130584 E130612:E130620 E130648:E130656 E130684:E130692 E130720:E130728 E130756:E130764 E130792:E130800 E130828:E130836 E130864:E130872 E130900:E130908 E130936:E130944 E130972:E130980 E131008:E131016 E131044:E131052 E131080:E131088 E131116:E131124 E131152:E131160 E131188:E131196 E131224:E131232 E131260:E131268 E131296:E131304 E131332:E131340 E131368:E131376 E131404:E131412 E131440:E131448 E131476:E131484 E131512:E131520 E131548:E131556 E131584:E131592 E131620:E131628 E131656:E131664 E131692:E131700 E131728:E131736 E131764:E131772 E131800:E131808 E131836:E131844 E131872:E131880 E131908:E131916 E131944:E131952 E131980:E131988 E132016:E132024 E132052:E132060 E132088:E132096 E132124:E132132 E132160:E132168 E132196:E132204 E132232:E132240 E132268:E132276 E132304:E132312 E132340:E132348 E132376:E132384 E132412:E132420 E132448:E132456 E132484:E132492 E132520:E132528 E132556:E132564 E132592:E132600 E132628:E132636 E132664:E132672 E132700:E132708 E132736:E132744 E132772:E132780 E132808:E132816 E132844:E132852 E132880:E132888 E132916:E132924 E132952:E132960 E132988:E132996 E133024:E133032 E133060:E133068 E133096:E133104 E133132:E133140 E133168:E133176 E133204:E133212 E133240:E133248 E133276:E133284 E133312:E133320 E133348:E133356 E133384:E133392 E133420:E133428 E133456:E133464 E133492:E133500 E133528:E133536 E133564:E133572 E133600:E133608 E133636:E133644 E133672:E133680 E133708:E133716 E133744:E133752 E133780:E133788 E133816:E133824 E133852:E133860 E133888:E133896 E133924:E133932 E133960:E133968 E133996:E134004 E134032:E134040 E134068:E134076 E134104:E134112 E134140:E134148 E134176:E134184 E134212:E134220 E134248:E134256 E134284:E134292 E134320:E134328 E134356:E134364 E134392:E134400 E134428:E134436 E134464:E134472 E134500:E134508 E134536:E134544 E134572:E134580 E134608:E134616 E134644:E134652 E134680:E134688 E134716:E134724 E134752:E134760 E134788:E134796 E134824:E134832 E134860:E134868 E134896:E134904 E134932:E134940 E134968:E134976 E135004:E135012 E135040:E135048 E135076:E135084 E135112:E135120 E135148:E135156 E135184:E135192 E135220:E135228 E135256:E135264 E135292:E135300 E135328:E135336 E135364:E135372 E135400:E135408 E135436:E135444 E135472:E135480 E135508:E135516 E135544:E135552 E135580:E135588 E135616:E135624 E135652:E135660 E135688:E135696 E135724:E135732 E135760:E135768 E135796:E135804 E135832:E135840 E135868:E135876 E135904:E135912 E135940:E135948 E135976:E135984 E136012:E136020 E136048:E136056 E136084:E136092 E136120:E136128 E136156:E136164 E136192:E136200 E136228:E136236 E136264:E136272 E136300:E136308 E136336:E136344 E136372:E136380 E136408:E136416 E136444:E136452 E136480:E136488 E136516:E136524 E136552:E136560 E136588:E136596 E136624:E136632 E136660:E136668 E136696:E136704 E136732:E136740 E136768:E136776 E136804:E136812 E136840:E136848 E136876:E136884 E136912:E136920 E136948:E136956 E136984:E136992 E137020:E137028 E137056:E137064 E137092:E137100 E137128:E137136 E137164:E137172 E137200:E137208 E137236:E137244 E137272:E137280 E137308:E137316 E137344:E137352 E137380:E137388 E137416:E137424 E137452:E137460 E137488:E137496 E137524:E137532 E137560:E137568 E137596:E137604 E137632:E137640 E137668:E137676 E137704:E137712 E137740:E137748 E137776:E137784 E137812:E137820 E137848:E137856 E137884:E137892 E137920:E137928 E137956:E137964 E137992:E138000 E138028:E138036 E138064:E138072 E138100:E138108 E138136:E138144 E138172:E138180 E138208:E138216 E138244:E138252 E138280:E138288 E138316:E138324 E138352:E138360 E138388:E138396 E138424:E138432 E138460:E138468 E138496:E138504 E138532:E138540 E138568:E138576 E138604:E138612 E138640:E138648 E138676:E138684 E138712:E138720 E138748:E138756 E138784:E138792 E138820:E138828 E138856:E138864 E138892:E138900 E138928:E138936 E138964:E138972 E139000:E139008 E139036:E139044 E139072:E139080 E139108:E139116 E139144:E139152 E139180:E139188 E139216:E139224 E139252:E139260 E139288:E139296 E139324:E139332 E139360:E139368 E139396:E139404 E139432:E139440 E139468:E139476 E139504:E139512 E139540:E139548 E139576:E139584 E139612:E139620 E139648:E139656 E139684:E139692 E139720:E139728 E139756:E139764 E139792:E139800 E139828:E139836 E139864:E139872 E139900:E139908 E139936:E139944 E139972:E139980 E140008:E140016 E140044:E140052 E140080:E140088 E140116:E140124 E140152:E140160 E140188:E140196 E140224:E140232 E140260:E140268 E140296:E140304 E140332:E140340 E140368:E140376 E140404:E140412 E140440:E140448 E140476:E140484 E140512:E140520 E140548:E140556 E140584:E140592 E140620:E140628 E140656:E140664 E140692:E140700 E140728:E140736 E140764:E140772 E140800:E140808 E140836:E140844 E140872:E140880 E140908:E140916 E140944:E140952 E140980:E140988 E141016:E141024 E141052:E141060 E141088:E141096 E141124:E141132 E141160:E141168 E141196:E141204 E141232:E141240 E141268:E141276 E141304:E141312 E141340:E141348 E141376:E141384 E141412:E141420 E141448:E141456 E141484:E141492 E141520:E141528 E141556:E141564 E141592:E141600 E141628:E141636 E141664:E141672 E141700:E141708 E141736:E141744 E141772:E141780 E141808:E141816 E141844:E141852 E141880:E141888 E141916:E141924 E141952:E141960 E141988:E141996 E142024:E142032 E142060:E142068 E142096:E142104 E142132:E142140 E142168:E142176 E142204:E142212 E142240:E142248 E142276:E142284 E142312:E142320 E142348:E142356 E142384:E142392 E142420:E142428 E142456:E142464 E142492:E142500 E142528:E142536 E142564:E142572 E142600:E142608 E142636:E142644 E142672:E142680 E142708:E142716 E142744:E142752 E142780:E142788 E142816:E142824 E142852:E142860 E142888:E142896 E142924:E142932 E142960:E142968 E142996:E143004 E143032:E143040 E143068:E143076 E143104:E143112 E143140:E143148 E143176:E143184 E143212:E143220 E143248:E143256 E143284:E143292 E143320:E143328 E143356:E143364 E143392:E143400 E143428:E143436 E143464:E143472 E143500:E143508 E143536:E143544 E143572:E143580 E143608:E143616 E143644:E143652 E143680:E143688 E143716:E143724 E143752:E143760 E143788:E143796 E143824:E143832 E143860:E143868 E143896:E143904 E143932:E143940 E143968:E143976 E144004:E144012 E144040:E144048 E144076:E144084 E144112:E144120 E144148:E144156 E144184:E144192 E144220:E144228 E144256:E144264 E144292:E144300 E144328:E144336 E144364:E144372 E144400:E144408 E144436:E144444 E144472:E144480 E144508:E144516 E144544:E144552 E144580:E144588 E144616:E144624 E144652:E144660 E144688:E144696 E144724:E144732 E144760:E144768 E144796:E144804 E144832:E144840 E144868:E144876 E144904:E144912 E144940:E144948 E144976:E144984 E145012:E145020 E145048:E145056 E145084:E145092 E145120:E145128 E145156:E145164 E145192:E145200 E145228:E145236 E145264:E145272 E145300:E145308 E145336:E145344 E145372:E145380 E145408:E145416 E145444:E145452 E145480:E145488 E145516:E145524 E145552:E145560 E145588:E145596 E145624:E145632 E145660:E145668 E145696:E145704 E145732:E145740 E145768:E145776 E145804:E145812 E145840:E145848 E145876:E145884 E145912:E145920 E145948:E145956 E145984:E145992 E146020:E146028 E146056:E146064 E146092:E146100 E146128:E146136 E146164:E146172 E146200:E146208 E146236:E146244 E146272:E146280 E146308:E146316 E146344:E146352 E146380:E146388 E146416:E146424 E146452:E146460 E146488:E146496 E146524:E146532 E146560:E146568 E146596:E146604 E146632:E146640 E146668:E146676 E146704:E146712 E146740:E146748 E146776:E146784 E146812:E146820 E146848:E146856 E146884:E146892 E146920:E146928 E146956:E146964 E146992:E147000 E147028:E147036 E147064:E147072 E147100:E147108 E147136:E147144 E147172:E147180 E147208:E147216 E147244:E147252 E147280:E147288 E147316:E147324 E147352:E147360 E147388:E147396 E147424:E147432 E147460:E147468 E147496:E147504 E147532:E147540 E147568:E147576 E147604:E147612 E147640:E147648 E147676:E147684 E147712:E147720 E147748:E147756 E147784:E147792 E147820:E147828 E147856:E147864 E147892:E147900 E147928:E147936 E147964:E147972 E148000:E148008 E148036:E148044 E148072:E148080 E148108:E148116 E148144:E148152 E148180:E148188 E148216:E148224 E148252:E148260 E148288:E148296 E148324:E148332 E148360:E148368 E148396:E148404 E148432:E148440 E148468:E148476 E148504:E148512 E148540:E148548 E148576:E148584 E148612:E148620 E148648:E148656 E148684:E148692 E148720:E148728 E148756:E148764 E148792:E148800 E148828:E148836 E148864:E148872 E148900:E148908 E148936:E148944 E148972:E148980 E149008:E149016 E149044:E149052 E149080:E149088 E149116:E149124 E149152:E149160 E149188:E149196 E149224:E149232 E149260:E149268 E149296:E149304 E149332:E149340 E149368:E149376 E149404:E149412 E149440:E149448 E149476:E149484 E149512:E149520 E149548:E149556 E149584:E149592 E149620:E149628 E149656:E149664 E149692:E149700 E149728:E149736 E149764:E149772 E149800:E149808 E149836:E149844 E149872:E149880 E149908:E149916 E149944:E149952 E149980:E149988 E150016:E150024 E150052:E150060 E150088:E150096 E150124:E150132 E150160:E150168 E150196:E150204 E150232:E150240 E150268:E150276 E150304:E150312 E150340:E150348 E150376:E150384 E150412:E150420 E150448:E150456 E150484:E150492 E150520:E150528 E150556:E150564 E150592:E150600 E150628:E150636 E150664:E150672 E150700:E150708 E150736:E150744 E150772:E150780 E150808:E150816 E150844:E150852 E150880:E150888 E150916:E150924 E150952:E150960 E150988:E150996 E151024:E151032 E151060:E151068 E151096:E151104 E151132:E151140 E151168:E151176 E151204:E151212 E151240:E151248 E151276:E151284 E151312:E151320 E151348:E151356 E151384:E151392 E151420:E151428 E151456:E151464 E151492:E151500 E151528:E151536 E151564:E151572 E151600:E151608 E151636:E151644 E151672:E151680 E151708:E151716 E151744:E151752 E151780:E151788 E151816:E151824 E151852:E151860 E151888:E151896 E151924:E151932 E151960:E151968 E151996:E152004 E152032:E152040 E152068:E152076 E152104:E152112 E152140:E152148 E152176:E152184 E152212:E152220 E152248:E152256 E152284:E152292 E152320:E152328 E152356:E152364 E152392:E152400 E152428:E152436 E152464:E152472 E152500:E152508 E152536:E152544 E152572:E152580 E152608:E152616 E152644:E152652 E152680:E152688 E152716:E152724 E152752:E152760 E152788:E152796 E152824:E152832 E152860:E152868 E152896:E152904 E152932:E152940 E152968:E152976 E153004:E153012 E153040:E153048 E153076:E153084 E153112:E153120 E153148:E153156 E153184:E153192 E153220:E153228 E153256:E153264 E153292:E153300 E153328:E153336 E153364:E153372 E153400:E153408 E153436:E153444 E153472:E153480 E153508:E153516 E153544:E153552 E153580:E153588 E153616:E153624 E153652:E153660 E153688:E153696 E153724:E153732 E153760:E153768 E153796:E153804 E153832:E153840 E153868:E153876 E153904:E153912 E153940:E153948 E153976:E153984 E154012:E154020 E154048:E154056 E154084:E154092 E154120:E154128 E154156:E154164 E154192:E154200 E154228:E154236 E154264:E154272 E154300:E154308 E154336:E154344 E154372:E154380 E154408:E154416 E154444:E154452 E154480:E154488 E154516:E154524 E154552:E154560 E154588:E154596 E154624:E154632 E154660:E154668 E154696:E154704 E154732:E154740 E154768:E154776 E154804:E154812 E154840:E154848 E154876:E154884 E154912:E154920 E154948:E154956 E154984:E154992 E155020:E155028 E155056:E155064 E155092:E155100 E155128:E155136 E155164:E155172 E155200:E155208 E155236:E155244 E155272:E155280 E155308:E155316 E155344:E155352 E155380:E155388 E155416:E155424 E155452:E155460 E155488:E155496 E155524:E155532 E155560:E155568 E155596:E155604 E155632:E155640 E155668:E155676 E155704:E155712 E155740:E155748 E155776:E155784 E155812:E155820 E155848:E155856 E155884:E155892 E155920:E155928 E155956:E155964 E155992:E156000 E156028:E156036 E156064:E156072 E156100:E156108 E156136:E156144 E156172:E156180 E156208:E156216 E156244:E156252 E156280:E156288 E156316:E156324 E156352:E156360 E156388:E156396 E156424:E156432 E156460:E156468 E156496:E156504 E156532:E156540 E156568:E156576 E156604:E156612 E156640:E156648 E156676:E156684 E156712:E156720 E156748:E156756 E156784:E156792 E156820:E156828 E156856:E156864 E156892:E156900 E156928:E156936 E156964:E156972 E157000:E157008 E157036:E157044 E157072:E157080 E157108:E157116 E157144:E157152 E157180:E157188 E157216:E157224 E157252:E157260 E157288:E157296 E157324:E157332 E157360:E157368 E157396:E157404 E157432:E157440 E157468:E157476 E157504:E157512 E157540:E157548 E157576:E157584 E157612:E157620 E157648:E157656 E157684:E157692 E157720:E157728 E157756:E157764 E157792:E157800 E157828:E157836 E157864:E157872 E157900:E157908 E157936:E157944 E157972:E157980 E158008:E158016 E158044:E158052 E158080:E158088 E158116:E158124 E158152:E158160 E158188:E158196 E158224:E158232 E158260:E158268 E158296:E158304 E158332:E158340 E158368:E158376 E158404:E158412 E158440:E158448 E158476:E158484 E158512:E158520 E158548:E158556 E158584:E158592 E158620:E158628 E158656:E158664 E158692:E158700 E158728:E158736 E158764:E158772 E158800:E158808 E158836:E158844 E158872:E158880 E158908:E158916 E158944:E158952 E158980:E158988 E159016:E159024 E159052:E159060 E159088:E159096 E159124:E159132 E159160:E159168 E159196:E159204 E159232:E159240 E159268:E159276 E159304:E159312 E159340:E159348 E159376:E159384 E159412:E159420 E159448:E159456 E159484:E159492 E159520:E159528 E159556:E159564 E159592:E159600 E159628:E159636 E159664:E159672 E159700:E159708 E159736:E159744 E159772:E159780 E159808:E159816 E159844:E159852 E159880:E159888 E159916:E159924 E159952:E159960 E159988:E159996 E160024:E160032 E160060:E160068 E160096:E160104 E160132:E160140 E160168:E160176 E160204:E160212 E160240:E160248 E160276:E160284 E160312:E160320 E160348:E160356 E160384:E160392 E160420:E160428 E160456:E160464 E160492:E160500 E160528:E160536 E160564:E160572 E160600:E160608 E160636:E160644 E160672:E160680 E160708:E160716 E160744:E160752 E160780:E160788 E160816:E160824 E160852:E160860 E160888:E160896 E160924:E160932 E160960:E160968 E160996:E161004 E161032:E161040 E161068:E161076 E161104:E161112 E161140:E161148 E161176:E161184 E161212:E161220 E161248:E161256 E161284:E161292 E161320:E161328 E161356:E161364 E161392:E161400 E161428:E161436 E161464:E161472 E161500:E161508 E161536:E161544 E161572:E161580 E161608:E161616 E161644:E161652 E161680:E161688 E161716:E161724 E161752:E161760 E161788:E161796 E161824:E161832 E161860:E161868 E161896:E161904 E161932:E161940 E161968:E161976 E162004:E162012 E162040:E162048 E162076:E162084 E162112:E162120 E162148:E162156 E162184:E162192 E162220:E162228 E162256:E162264 E162292:E162300 E162328:E162336 E162364:E162372 E162400:E162408 E162436:E162444 E162472:E162480 E162508:E162516 E162544:E162552 E162580:E162588 E162616:E162624 E162652:E162660 E162688:E162696 E162724:E162732 E162760:E162768 E162796:E162804 E162832:E162840 E162868:E162876 E162904:E162912 E162940:E162948 E162976:E162984 E163012:E163020 E163048:E163056 E163084:E163092 E163120:E163128 E163156:E163164 E163192:E163200 E163228:E163236 E163264:E163272 E163300:E163308 E163336:E163344 E163372:E163380 E163408:E163416 E163444:E163452 E163480:E163488 E163516:E163524 E163552:E163560 E163588:E163596 E163624:E163632 E163660:E163668 E163696:E163704 E163732:E163740 E163768:E163776 E163804:E163812 E163840:E163848 E163876:E163884 E163912:E163920 E163948:E163956 E163984:E163992 E164020:E164028 E164056:E164064 E164092:E164100 E164128:E164136 E164164:E164172 E164200:E164208 E164236:E164244 E164272:E164280 E164308:E164316 E164344:E164352 E164380:E164388 E164416:E164424 E164452:E164460 E164488:E164496 E164524:E164532 E164560:E164568 E164596:E164604 E164632:E164640 E164668:E164676 E164704:E164712 E164740:E164748 E164776:E164784 E164812:E164820 E164848:E164856 E164884:E164892 E164920:E164928 E164956:E164964 E164992:E165000 E165028:E165036 E165064:E165072 E165100:E165108 E165136:E165144 E165172:E165180 E165208:E165216 E165244:E165252 E165280:E165288 E165316:E165324 E165352:E165360 E165388:E165396 E165424:E165432 E165460:E165468 E165496:E165504 E165532:E165540 E165568:E165576 E165604:E165612 E165640:E165648 E165676:E165684 E165712:E165720 E165748:E165756 E165784:E165792 E165820:E165828 E165856:E165864 E165892:E165900 E165928:E165936 E165964:E165972 E166000:E166008 E166036:E166044 E166072:E166080 E166108:E166116 E166144:E166152 E166180:E166188 E166216:E166224 E166252:E166260 E166288:E166296 E166324:E166332 E166360:E166368 E166396:E166404 E166432:E166440 E166468:E166476 E166504:E166512 E166540:E166548 E166576:E166584 E166612:E166620 E166648:E166656 E166684:E166692 E166720:E166728 E166756:E166764 E166792:E166800 E166828:E166836 E166864:E166872 E166900:E166908 E166936:E166944 E166972:E166980 E167008:E167016 E167044:E167052 E167080:E167088 E167116:E167124 E167152:E167160 E167188:E167196 E167224:E167232 E167260:E167268 E167296:E167304 E167332:E167340 E167368:E167376 E167404:E167412 E167440:E167448 E167476:E167484 E167512:E167520 E167548:E167556 E167584:E167592 E167620:E167628 E167656:E167664 E167692:E167700 E167728:E167736 E167764:E167772 E167800:E167808 E167836:E167844 E167872:E167880 E167908:E167916 E167944:E167952 E167980:E167988 E168016:E168024 E168052:E168060 E168088:E168096 E168124:E168132 E168160:E168168 E168196:E168204 E168232:E168240 E168268:E168276 E168304:E168312 E168340:E168348 E168376:E168384 E168412:E168420 E168448:E168456 E168484:E168492 E168520:E168528 E168556:E168564 E168592:E168600 E168628:E168636 E168664:E168672 E168700:E168708 E168736:E168744 E168772:E168780 E168808:E168816 E168844:E168852 E168880:E168888 E168916:E168924 E168952:E168960 E168988:E168996 E169024:E169032 E169060:E169068 E169096:E169104 E169132:E169140 E169168:E169176 E169204:E169212 E169240:E169248 E169276:E169284 E169312:E169320 E169348:E169356 E169384:E169392 E169420:E169428 E169456:E169464 E169492:E169500 E169528:E169536 E169564:E169572 E169600:E169608 E169636:E169644 E169672:E169680 E169708:E169716 E169744:E169752 E169780:E169788 E169816:E169824 E169852:E169860 E169888:E169896 E169924:E169932 E169960:E169968 E169996:E170004 E170032:E170040 E170068:E170076 E170104:E170112 E170140:E170148 E170176:E170184 E170212:E170220 E170248:E170256 E170284:E170292 E170320:E170328 E170356:E170364 E170392:E170400 E170428:E170436 E170464:E170472 E170500:E170508 E170536:E170544 E170572:E170580 E170608:E170616 E170644:E170652 E170680:E170688 E170716:E170724 E170752:E170760 E170788:E170796 E170824:E170832 E170860:E170868 E170896:E170904 E170932:E170940 E170968:E170976 E171004:E171012 E171040:E171048 E171076:E171084 E171112:E171120 E171148:E171156 E171184:E171192 E171220:E171228 E171256:E171264 E171292:E171300 E171328:E171336 E171364:E171372 E171400:E171408 E171436:E171444 E171472:E171480 E171508:E171516 E171544:E171552 E171580:E171588 E171616:E171624 E171652:E171660 E171688:E171696 E171724:E171732 E171760:E171768 E171796:E171804 E171832:E171840 E171868:E171876 E171904:E171912 E171940:E171948 E171976:E171984 E172012:E172020 E172048:E172056 E172084:E172092 E172120:E172128 E172156:E172164 E172192:E172200 E172228:E172236 E172264:E172272 E172300:E172308 E172336:E172344 E172372:E172380 E172408:E172416 E172444:E172452 E172480:E172488 E172516:E172524 E172552:E172560 E172588:E172596 E172624:E172632 E172660:E172668 E172696:E172704 E172732:E172740 E172768:E172776 E172804:E172812 E172840:E172848 E172876:E172884 E172912:E172920 E172948:E172956 E172984:E172992 E173020:E173028 E173056:E173064 E173092:E173100 E173128:E173136 E173164:E173172 E173200:E173208 E173236:E173244 E173272:E173280 E173308:E173316 E173344:E173352 E173380:E173388 E173416:E173424 E173452:E173460 E173488:E173496 E173524:E173532 E173560:E173568 E173596:E173604 E173632:E173640 E173668:E173676 E173704:E173712 E173740:E173748 E173776:E173784 E173812:E173820 E173848:E173856 E173884:E173892 E173920:E173928 E173956:E173964 E173992:E174000 E174028:E174036 E174064:E174072 E174100:E174108 E174136:E174144 E174172:E174180 E174208:E174216 E174244:E174252 E174280:E174288 E174316:E174324 E174352:E174360 E174388:E174396 E174424:E174432 E174460:E174468 E174496:E174504 E174532:E174540 E174568:E174576 E174604:E174612 E174640:E174648 E174676:E174684 E174712:E174720 E174748:E174756 E174784:E174792 E174820:E174828 E174856:E174864 E174892:E174900 E174928:E174936 E174964:E174972 E175000:E175008 E175036:E175044 E175072:E175080 E175108:E175116 E175144:E175152 E175180:E175188 E175216:E175224 E175252:E175260 E175288:E175296 E175324:E175332 E175360:E175368 E175396:E175404 E175432:E175440 E175468:E175476 E175504:E175512 E175540:E175548 E175576:E175584 E175612:E175620 E175648:E175656 E175684:E175692 E175720:E175728 E175756:E175764 E175792:E175800 E175828:E175836 E175864:E175872 E175900:E175908 E175936:E175944 E175972:E175980 E176008:E176016 E176044:E176052 E176080:E176088 E176116:E176124 E176152:E176160 E176188:E176196 E176224:E176232 E176260:E176268 E176296:E176304 E176332:E176340 E176368:E176376 E176404:E176412 E176440:E176448 E176476:E176484 E176512:E176520 E176548:E176556 E176584:E176592 E176620:E176628 E176656:E176664 E176692:E176700 E176728:E176736 E176764:E176772 E176800:E176808 E176836:E176844 E176872:E176880 E176908:E176916 E176944:E176952 E176980:E176988 E177016:E177024 E177052:E177060 E177088:E177096 E177124:E177132 E177160:E177168 E177196:E177204 E177232:E177240 E177268:E177276 E177304:E177312 E177340:E177348 E177376:E177384 E177412:E177420 E177448:E177456 E177484:E177492 E177520:E177528 E177556:E177564 E177592:E177600 E177628:E177636 E177664:E177672 E177700:E177708 E177736:E177744 E177772:E177780 E177808:E177816 E177844:E177852 E177880:E177888 E177916:E177924 E177952:E177960 E177988:E177996 E178024:E178032 E178060:E178068 E178096:E178104 E178132:E178140 E178168:E178176 E178204:E178212 E178240:E178248 E178276:E178284 E178312:E178320 E178348:E178356 E178384:E178392 E178420:E178428 E178456:E178464 E178492:E178500 E178528:E178536 E178564:E178572 E178600:E178608 E178636:E178644 E178672:E178680 E178708:E178716 E178744:E178752 E178780:E178788 E178816:E178824 E178852:E178860 E178888:E178896 E178924:E178932 E178960:E178968 E178996:E179004 E179032:E179040 E179068:E179076 E179104:E179112 E179140:E179148 E179176:E179184 E179212:E179220 E179248:E179256 E179284:E179292 E179320:E179328 E179356:E179364 E179392:E179400 E179428:E179436 E179464:E179472 E179500:E179508 E179536:E179544 E179572:E179580 E179608:E179616 E179644:E179652 E179680:E179688 E179716:E179724 E179752:E179760 E179788:E179796 E179824:E179832 E179860:E179868 E179896:E179904 E179932:E179940 E179968:E179976 E180004:E180012 E180040:E180048 E180076:E180084 E180112:E180120 E180148:E180156 E180184:E180192 E180220:E180228 E180256:E180264 E180292:E180300 E180328:E180336 E180364:E180372 E180400:E180408 E180436:E180444 E180472:E180480 E180508:E180516 E180544:E180552 E180580:E180588 E180616:E180624 E180652:E180660 E180688:E180696 E180724:E180732 E180760:E180768 E180796:E180804 E180832:E180840 E180868:E180876 E180904:E180912 E180940:E180948 E180976:E180984 E181012:E181020 E181048:E181056 E181084:E181092 E181120:E181128 E181156:E181164 E181192:E181200 E181228:E181236 E181264:E181272 E181300:E181308 E181336:E181344 E181372:E181380 E181408:E181416 E181444:E181452 E181480:E181488 E181516:E181524 E181552:E181560 E181588:E181596 E181624:E181632 E181660:E181668 E181696:E181704 E181732:E181740 E181768:E181776 E181804:E181812 E181840:E181848 E181876:E181884 E181912:E181920 E181948:E181956 E181984:E181992 E182020:E182028 E182056:E182064 E182092:E182100 E182128:E182136 E182164:E182172 E182200:E182208 E182236:E182244 E182272:E182280 E182308:E182316 E182344:E182352 E182380:E182388 E182416:E182424 E182452:E182460 E182488:E182496 E182524:E182532 E182560:E182568 E182596:E182604 E182632:E182640 E182668:E182676 E182704:E182712 E182740:E182748 E182776:E182784 E182812:E182820 E182848:E182856 E182884:E182892 E182920:E182928 E182956:E182964 E182992:E183000 E183028:E183036 E183064:E183072 E183100:E183108 E183136:E183144 E183172:E183180 E183208:E183216 E183244:E183252 E183280:E183288 E183316:E183324 E183352:E183360 E183388:E183396 E183424:E183432 E183460:E183468 E183496:E183504 E183532:E183540 E183568:E183576 E183604:E183612 E183640:E183648 E183676:E183684 E183712:E183720 E183748:E183756 E183784:E183792 E183820:E183828 E183856:E183864 E183892:E183900 E183928:E183936 E183964:E183972 E184000:E184008 E184036:E184044 E184072:E184080 E184108:E184116 E184144:E184152 E184180:E184188 E184216:E184224 E184252:E184260 E184288:E184296 E184324:E184332 E184360:E184368 E184396:E184404 E184432:E184440 E184468:E184476 E184504:E184512 E184540:E184548 E184576:E184584 E184612:E184620 E184648:E184656 E184684:E184692 E184720:E184728 E184756:E184764 E184792:E184800 E184828:E184836 E184864:E184872 E184900:E184908 E184936:E184944 E184972:E184980 E185008:E185016 E185044:E185052 E185080:E185088 E185116:E185124 E185152:E185160 E185188:E185196 E185224:E185232 E185260:E185268 E185296:E185304 E185332:E185340 E185368:E185376 E185404:E185412 E185440:E185448 E185476:E185484 E185512:E185520 E185548:E185556 E185584:E185592 E185620:E185628 E185656:E185664 E185692:E185700 E185728:E185736 E185764:E185772 E185800:E185808 E185836:E185844 E185872:E185880 E185908:E185916 E185944:E185952 E185980:E185988 E186016:E186024 E186052:E186060 E186088:E186096 E186124:E186132 E186160:E186168 E186196:E186204 E186232:E186240 E186268:E186276 E186304:E186312 E186340:E186348 E186376:E186384 E186412:E186420 E186448:E186456 E186484:E186492 E186520:E186528 E186556:E186564 E186592:E186600 E186628:E186636 E186664:E186672 E186700:E186708 E186736:E186744 E186772:E186780 E186808:E186816 E186844:E186852 E186880:E186888 E186916:E186924 E186952:E186960 E186988:E186996 E187024:E187032 E187060:E187068 E187096:E187104 E187132:E187140 E187168:E187176 E187204:E187212 E187240:E187248 E187276:E187284 E187312:E187320 E187348:E187356 E187384:E187392 E187420:E187428 E187456:E187464 E187492:E187500 E187528:E187536 E187564:E187572 E187600:E187608 E187636:E187644 E187672:E187680 E187708:E187716 E187744:E187752 E187780:E187788 E187816:E187824 E187852:E187860 E187888:E187896 E187924:E187932 E187960:E187968 E187996:E188004 E188032:E188040 E188068:E188076 E188104:E188112 E188140:E188148 E188176:E188184 E188212:E188220 E188248:E188256 E188284:E188292 E188320:E188328 E188356:E188364 E188392:E188400 E188428:E188436 E188464:E188472 E188500:E188508 E188536:E188544 E188572:E188580 E188608:E188616 E188644:E188652 E188680:E188688 E188716:E188724 E188752:E188760 E188788:E188796 E188824:E188832 E188860:E188868 E188896:E188904 E188932:E188940 E188968:E188976 E189004:E189012 E189040:E189048 E189076:E189084 E189112:E189120 E189148:E189156 E189184:E189192 E189220:E189228 E189256:E189264 E189292:E189300 E189328:E189336 E189364:E189372 E189400:E189408 E189436:E189444 E189472:E189480 E189508:E189516 E189544:E189552 E189580:E189588 E189616:E189624 E189652:E189660 E189688:E189696 E189724:E189732 E189760:E189768 E189796:E189804 E189832:E189840 E189868:E189876 E189904:E189912 E189940:E189948 E189976:E189984 E190012:E190020 E190048:E190056 E190084:E190092 E190120:E190128 E190156:E190164 E190192:E190200 E190228:E190236 E190264:E190272 E190300:E190308 E190336:E190344 E190372:E190380 E190408:E190416 E190444:E190452 E190480:E190488 E190516:E190524 E190552:E190560 E190588:E190596 E190624:E190632 E190660:E190668 E190696:E190704 E190732:E190740 E190768:E190776 E190804:E190812 E190840:E190848 E190876:E190884 E190912:E190920 E190948:E190956 E190984:E190992 E191020:E191028 E191056:E191064 E191092:E191100 E191128:E191136 E191164:E191172 E191200:E191208 E191236:E191244 E191272:E191280 E191308:E191316 E191344:E191352 E191380:E191388 E191416:E191424 E191452:E191460 E191488:E191496 E191524:E191532 E191560:E191568 E191596:E191604 E191632:E191640 E191668:E191676 E191704:E191712 E191740:E191748 E191776:E191784 E191812:E191820 E191848:E191856 E191884:E191892 E191920:E191928 E191956:E191964 E191992:E192000 E192028:E192036 E192064:E192072 E192100:E192108 E192136:E192144 E192172:E192180 E192208:E192216 E192244:E192252 E192280:E192288 E192316:E192324 E192352:E192360 E192388:E192396 E192424:E192432 E192460:E192468 E192496:E192504 E192532:E192540 E192568:E192576 E192604:E192612 E192640:E192648 E192676:E192684 E192712:E192720 E192748:E192756 E192784:E192792 E192820:E192828 E192856:E192864 E192892:E192900 E192928:E192936 E192964:E192972 E193000:E193008 E193036:E193044 E193072:E193080 E193108:E193116 E193144:E193152 E193180:E193188 E193216:E193224 E193252:E193260 E193288:E193296 E193324:E193332 E193360:E193368 E193396:E193404 E193432:E193440 E193468:E193476 E193504:E193512 E193540:E193548 E193576:E193584 E193612:E193620 E193648:E193656 E193684:E193692 E193720:E193728 E193756:E193764 E193792:E193800 E193828:E193836 E193864:E193872 E193900:E193908 E193936:E193944 E193972:E193980 E194008:E194016 E194044:E194052 E194080:E194088 E194116:E194124 E194152:E194160 E194188:E194196 E194224:E194232 E194260:E194268 E194296:E194304 E194332:E194340 E194368:E194376 E194404:E194412 E194440:E194448 E194476:E194484 E194512:E194520 E194548:E194556 E194584:E194592 E194620:E194628 E194656:E194664 E194692:E194700 E194728:E194736 E194764:E194772 E194800:E194808 E194836:E194844 E194872:E194880 E194908:E194916 E194944:E194952 E194980:E194988 E195016:E195024 E195052:E195060 E195088:E195096 E195124:E195132 E195160:E195168 E195196:E195204 E195232:E195240 E195268:E195276 E195304:E195312 E195340:E195348 E195376:E195384 E195412:E195420 E195448:E195456 E195484:E195492 E195520:E195528 E195556:E195564 E195592:E195600 E195628:E195636 E195664:E195672 E195700:E195708 E195736:E195744 E195772:E195780 E195808:E195816 E195844:E195852 E195880:E195888 E195916:E195924 E195952:E195960 E195988:E195996 E196024:E196032 E196060:E196068 E196096:E196104 E196132:E196140 E196168:E196176 E196204:E196212 E196240:E196248 E196276:E196284 E196312:E196320 E196348:E196356 E196384:E196392 E196420:E196428 E196456:E196464 E196492:E196500 E196528:E196536 E196564:E196572 E196600:E196608 E196636:E196644 E196672:E196680 E196708:E196716 E196744:E196752 E196780:E196788 E196816:E196824 E196852:E196860 E196888:E196896 E196924:E196932 E196960:E196968 E196996:E197004 E197032:E197040 E197068:E197076 E197104:E197112 E197140:E197148 E197176:E197184 E197212:E197220 E197248:E197256 E197284:E197292 E197320:E197328 E197356:E197364 E197392:E197400 E197428:E197436 E197464:E197472 E197500:E197508 E197536:E197544 E197572:E197580 E197608:E197616 E197644:E197652 E197680:E197688 E197716:E197724 E197752:E197760 E197788:E197796 E197824:E197832 E197860:E197868 E197896:E197904 E197932:E197940 E197968:E197976 E198004:E198012 E198040:E198048 E198076:E198084 E198112:E198120 E198148:E198156 E198184:E198192 E198220:E198228 E198256:E198264 E198292:E198300 E198328:E198336 E198364:E198372 E198400:E198408 E198436:E198444 E198472:E198480 E198508:E198516 E198544:E198552 E198580:E198588 E198616:E198624 E198652:E198660 E198688:E198696 E198724:E198732 E198760:E198768 E198796:E198804 E198832:E198840 E198868:E198876 E198904:E198912 E198940:E198948 E198976:E198984 E199012:E199020 E199048:E199056 E199084:E199092 E199120:E199128 E199156:E199164 E199192:E199200 E199228:E199236 E199264:E199272 E199300:E199308 E199336:E199344 E199372:E199380 E199408:E199416 E199444:E199452 E199480:E199488 E199516:E199524 E199552:E199560 E199588:E199596 E199624:E199632 E199660:E199668 E199696:E199704 E199732:E199740 E199768:E199776 E199804:E199812 E199840:E199848 E199876:E199884 E199912:E199920 E199948:E199956 E199984:E199992 E200020:E200028 E200056:E200064 E200092:E200100 E200128:E200136 E200164:E200172 E200200:E200208 E200236:E200244 E200272:E200280 E200308:E200316 E200344:E200352 E200380:E200388 E200416:E200424 E200452:E200460 E200488:E200496 E200524:E200532 E200560:E200568 E200596:E200604 E200632:E200640 E200668:E200676 E200704:E200712 E200740:E200748 E200776:E200784 E200812:E200820 E200848:E200856 E200884:E200892 E200920:E200928 E200956:E200964 E200992:E201000 E201028:E201036 E201064:E201072 E201100:E201108 E201136:E201144 E201172:E201180 E201208:E201216 E201244:E201252 E201280:E201288 E201316:E201324 E201352:E201360 E201388:E201396 E201424:E201432 E201460:E201468 E201496:E201504 E201532:E201540 E201568:E201576 E201604:E201612 E201640:E201648 E201676:E201684 E201712:E201720 E201748:E201756 E201784:E201792 E201820:E201828 E201856:E201864 E201892:E201900 E201928:E201936 E201964:E201972 E202000:E202008 E202036:E202044 E202072:E202080 E202108:E202116 E202144:E202152 E202180:E202188 E202216:E202224 E202252:E202260 E202288:E202296 E202324:E202332 E202360:E202368 E202396:E202404 E202432:E202440 E202468:E202476 E202504:E202512 E202540:E202548 E202576:E202584 E202612:E202620 E202648:E202656 E202684:E202692 E202720:E202728 E202756:E202764 E202792:E202800 E202828:E202836 E202864:E202872 E202900:E202908 E202936:E202944 E202972:E202980 E203008:E203016 E203044:E203052 E203080:E203088 E203116:E203124 E203152:E203160 E203188:E203196 E203224:E203232 E203260:E203268 E203296:E203304 E203332:E203340 E203368:E203376 E203404:E203412 E203440:E203448 E203476:E203484 E203512:E203520 E203548:E203556 E203584:E203592 E203620:E203628 E203656:E203664 E203692:E203700 E203728:E203736 E203764:E203772 E203800:E203808 E203836:E203844 E203872:E203880 E203908:E203916 E203944:E203952 E203980:E203988 E204016:E204024 E204052:E204060 E204088:E204096 E204124:E204132 E204160:E204168 E204196:E204204 E204232:E204240 E204268:E204276 E204304:E204312 E204340:E204348 E204376:E204384 E204412:E204420 E204448:E204456 E204484:E204492 E204520:E204528 E204556:E204564 E204592:E204600 E204628:E204636 E204664:E204672 E204700:E204708 E204736:E204744 E204772:E204780 E204808:E204816 E204844:E204852 E204880:E204888 E204916:E204924 E204952:E204960 E204988:E204996 E205024:E205032 E205060:E205068 E205096:E205104 E205132:E205140 E205168:E205176 E205204:E205212 E205240:E205248 E205276:E205284 E205312:E205320 E205348:E205356 E205384:E205392 E205420:E205428 E205456:E205464 E205492:E205500 E205528:E205536 E205564:E205572 E205600:E205608 E205636:E205644 E205672:E205680 E205708:E205716 E205744:E205752 E205780:E205788 E205816:E205824 E205852:E205860 E205888:E205896 E205924:E205932 E205960:E205968 E205996:E206004 E206032:E206040 E206068:E206076 E206104:E206112 E206140:E206148 E206176:E206184 E206212:E206220 E206248:E206256 E206284:E206292 E206320:E206328 E206356:E206364 E206392:E206400 E206428:E206436 E206464:E206472 E206500:E206508 E206536:E206544 E206572:E206580 E206608:E206616 E206644:E206652 E206680:E206688 E206716:E206724 E206752:E206760 E206788:E206796 E206824:E206832 E206860:E206868 E206896:E206904 E206932:E206940 E206968:E206976 E207004:E207012 E207040:E207048 E207076:E207084 E207112:E207120 E207148:E207156 E207184:E207192 E207220:E207228 E207256:E207264 E207292:E207300 E207328:E207336 E207364:E207372 E207400:E207408 E207436:E207444 E207472:E207480 E207508:E207516 E207544:E207552 E207580:E207588 E207616:E207624 E207652:E207660 E207688:E207696 E207724:E207732 E207760:E207768 E207796:E207804 E207832:E207840 E207868:E207876 E207904:E207912 E207940:E207948 E207976:E207984 E208012:E208020 E208048:E208056 E208084:E208092 E208120:E208128 E208156:E208164 E208192:E208200 E208228:E208236 E208264:E208272 E208300:E208308 E208336:E208344 E208372:E208380 E208408:E208416 E208444:E208452 E208480:E208488 E208516:E208524 E208552:E208560 E208588:E208596 E208624:E208632 E208660:E208668 E208696:E208704 E208732:E208740 E208768:E208776 E208804:E208812 E208840:E208848 E208876:E208884 E208912:E208920 E208948:E208956 E208984:E208992 E209020:E209028 E209056:E209064 E209092:E209100 E209128:E209136 E209164:E209172 E209200:E209208 E209236:E209244 E209272:E209280 E209308:E209316 E209344:E209352 E209380:E209388 E209416:E209424 E209452:E209460 E209488:E209496 E209524:E209532 E209560:E209568 E209596:E209604 E209632:E209640 E209668:E209676 E209704:E209712 E209740:E209748 E209776:E209784 E209812:E209820 E209848:E209856 E209884:E209892 E209920:E209928 E209956:E209964 E209992:E210000 E210028:E210036 E210064:E210072 E210100:E210108 E210136:E210144 E210172:E210180 E210208:E210216 E210244:E210252 E210280:E210288 E210316:E210324 E210352:E210360 E210388:E210396 E210424:E210432 E210460:E210468 E210496:E210504 E210532:E210540 E210568:E210576 E210604:E210612 E210640:E210648 E210676:E210684 E210712:E210720 E210748:E210756 E210784:E210792 E210820:E210828 E210856:E210864 E210892:E210900 E210928:E210936 E210964:E210972 E211000:E211008 E211036:E211044 E211072:E211080 E211108:E211116 E211144:E211152 E211180:E211188 E211216:E211224 E211252:E211260 E211288:E211296 E211324:E211332 E211360:E211368 E211396:E211404 E211432:E211440 E211468:E211476 E211504:E211512 E211540:E211548 E211576:E211584 E211612:E211620 E211648:E211656 E211684:E211692 E211720:E211728 E211756:E211764 E211792:E211800 E211828:E211836 E211864:E211872 E211900:E211908 E211936:E211944 E211972:E211980 E212008:E212016 E212044:E212052 E212080:E212088 E212116:E212124 E212152:E212160 E212188:E212196 E212224:E212232 E212260:E212268 E212296:E212304 E212332:E212340 E212368:E212376 E212404:E212412 E212440:E212448 E212476:E212484 E212512:E212520 E212548:E212556 E212584:E212592 E212620:E212628 E212656:E212664 E212692:E212700 E212728:E212736 E212764:E212772 E212800:E212808 E212836:E212844 E212872:E212880 E212908:E212916 E212944:E212952 E212980:E212988 E213016:E213024 E213052:E213060 E213088:E213096 E213124:E213132 E213160:E213168 E213196:E213204 E213232:E213240 E213268:E213276 E213304:E213312 E213340:E213348 E213376:E213384 E213412:E213420 E213448:E213456 E213484:E213492 E213520:E213528 E213556:E213564 E213592:E213600 E213628:E213636 E213664:E213672 E213700:E213708 E213736:E213744 E213772:E213780 E213808:E213816 E213844:E213852 E213880:E213888 E213916:E213924 E213952:E213960 E213988:E213996 E214024:E214032 E214060:E214068 E214096:E214104 E214132:E214140 E214168:E214176 E214204:E214212 E214240:E214248 E214276:E214284 E214312:E214320 E214348:E214356 E214384:E214392 E214420:E214428 E214456:E214464 E214492:E214500 E214528:E214536 E214564:E214572 E214600:E214608 E214636:E214644 E214672:E214680 E214708:E214716 E214744:E214752 E214780:E214788 E214816:E214824 E214852:E214860 E214888:E214896 E214924:E214932 E214960:E214968 E214996:E215004 E215032:E215040 E215068:E215076 E215104:E215112 E215140:E215148 E215176:E215184 E215212:E215220 E215248:E215256 E215284:E215292 E215320:E215328 E215356:E215364 E215392:E215400 E215428:E215436 E215464:E215472 E215500:E215508 E215536:E215544 E215572:E215580 E215608:E215616 E215644:E215652 E215680:E215688 E215716:E215724 E215752:E215760 E215788:E215796 E215824:E215832 E215860:E215868 E215896:E215904 E215932:E215940 E215968:E215976 E216004:E216012 E216040:E216048 E216076:E216084 E216112:E216120 E216148:E216156 E216184:E216192 E216220:E216228 E216256:E216264 E216292:E216300 E216328:E216336 E216364:E216372 E216400:E216408 E216436:E216444 E216472:E216480 E216508:E216516 E216544:E216552 E216580:E216588 E216616:E216624 E216652:E216660 E216688:E216696 E216724:E216732 E216760:E216768 E216796:E216804 E216832:E216840 E216868:E216876 E216904:E216912 E216940:E216948 E216976:E216984 E217012:E217020 E217048:E217056 E217084:E217092 E217120:E217128 E217156:E217164 E217192:E217200 E217228:E217236 E217264:E217272 E217300:E217308 E217336:E217344 E217372:E217380 E217408:E217416 E217444:E217452 E217480:E217488 E217516:E217524 E217552:E217560 E217588:E217596 E217624:E217632 E217660:E217668 E217696:E217704 E217732:E217740 E217768:E217776 E217804:E217812 E217840:E217848 E217876:E217884 E217912:E217920 E217948:E217956 E217984:E217992 E218020:E218028 E218056:E218064 E218092:E218100 E218128:E218136 E218164:E218172 E218200:E218208 E218236:E218244 E218272:E218280 E218308:E218316 E218344:E218352 E218380:E218388 E218416:E218424 E218452:E218460 E218488:E218496 E218524:E218532 E218560:E218568 E218596:E218604 E218632:E218640 E218668:E218676 E218704:E218712 E218740:E218748 E218776:E218784 E218812:E218820 E218848:E218856 E218884:E218892 E218920:E218928 E218956:E218964 E218992:E219000 E219028:E219036 E219064:E219072 E219100:E219108 E219136:E219144 E219172:E219180 E219208:E219216 E219244:E219252 E219280:E219288 E219316:E219324 E219352:E219360 E219388:E219396 E219424:E219432 E219460:E219468 E219496:E219504 E219532:E219540 E219568:E219576 E219604:E219612 E219640:E219648 E219676:E219684 E219712:E219720 E219748:E219756 E219784:E219792 E219820:E219828 E219856:E219864 E219892:E219900 E219928:E219936 E219964:E219972 E220000:E220008 E220036:E220044 E220072:E220080 E220108:E220116 E220144:E220152 E220180:E220188 E220216:E220224 E220252:E220260 E220288:E220296 E220324:E220332 E220360:E220368 E220396:E220404 E220432:E220440 E220468:E220476 E220504:E220512 E220540:E220548 E220576:E220584 E220612:E220620 E220648:E220656 E220684:E220692 E220720:E220728 E220756:E220764 E220792:E220800 E220828:E220836 E220864:E220872 E220900:E220908 E220936:E220944 E220972:E220980 E221008:E221016 E221044:E221052 E221080:E221088 E221116:E221124 E221152:E221160 E221188:E221196 E221224:E221232 E221260:E221268 E221296:E221304 E221332:E221340 E221368:E221376 E221404:E221412 E221440:E221448 E221476:E221484 E221512:E221520 E221548:E221556 E221584:E221592 E221620:E221628 E221656:E221664 E221692:E221700 E221728:E221736 E221764:E221772 E221800:E221808 E221836:E221844 E221872:E221880 E221908:E221916 E221944:E221952 E221980:E221988 E222016:E222024 E222052:E222060 E222088:E222096 E222124:E222132 E222160:E222168 E222196:E222204 E222232:E222240 E222268:E222276 E222304:E222312 E222340:E222348 E222376:E222384 E222412:E222420 E222448:E222456 E222484:E222492 E222520:E222528 E222556:E222564 E222592:E222600 E222628:E222636 E222664:E222672 E222700:E222708 E222736:E222744 E222772:E222780 E222808:E222816 E222844:E222852 E222880:E222888 E222916:E222924 E222952:E222960 E222988:E222996 E223024:E223032 E223060:E223068 E223096:E223104 E223132:E223140 E223168:E223176 E223204:E223212 E223240:E223248 E223276:E223284 E223312:E223320 E223348:E223356 E223384:E223392 E223420:E223428 E223456:E223464 E223492:E223500 E223528:E223536 E223564:E223572 E223600:E223608 E223636:E223644 E223672:E223680 E223708:E223716 E223744:E223752 E223780:E223788 E223816:E223824 E223852:E223860 E223888:E223896 E223924:E223932 E223960:E223968 E223996:E224004 E224032:E224040 E224068:E224076 E224104:E224112 E224140:E224148 E224176:E224184 E224212:E224220 E224248:E224256 E224284:E224292 E224320:E224328 E224356:E224364 E224392:E224400 E224428:E224436 E224464:E224472 E224500:E224508 E224536:E224544 E224572:E224580 E224608:E224616 E224644:E224652 E224680:E224688 E224716:E224724 E224752:E224760 E224788:E224796 E224824:E224832 E224860:E224868 E224896:E224904 E224932:E224940 E224968:E224976 E225004:E225012 E225040:E225048 E225076:E225084 E225112:E225120 E225148:E225156 E225184:E225192 E225220:E225228 E225256:E225264 E225292:E225300 E225328:E225336 E225364:E225372 E225400:E225408 E225436:E225444 E225472:E225480 E225508:E225516 E225544:E225552 E225580:E225588 E225616:E225624 E225652:E225660 E225688:E225696 E225724:E225732 E225760:E225768 E225796:E225804 E225832:E225840 E225868:E225876 E225904:E225912 E225940:E225948 E225976:E225984 E226012:E226020 E226048:E226056 E226084:E226092 E226120:E226128 E226156:E226164 E226192:E226200 E226228:E226236 E226264:E226272 E226300:E226308 E226336:E226344 E226372:E226380 E226408:E226416 E226444:E226452 E226480:E226488 E226516:E226524 E226552:E226560 E226588:E226596 E226624:E226632 E226660:E226668 E226696:E226704 E226732:E226740 E226768:E226776 E226804:E226812 E226840:E226848 E226876:E226884 E226912:E226920 E226948:E226956 E226984:E226992 E227020:E227028 E227056:E227064 E227092:E227100 E227128:E227136 E227164:E227172 E227200:E227208 E227236:E227244 E227272:E227280 E227308:E227316 E227344:E227352 E227380:E227388 E227416:E227424 E227452:E227460 E227488:E227496 E227524:E227532 E227560:E227568 E227596:E227604 E227632:E227640 E227668:E227676 E227704:E227712 E227740:E227748 E227776:E227784 E227812:E227820 E227848:E227856 E227884:E227892 E227920:E227928 E227956:E227964 E227992:E228000 E228028:E228036 E228064:E228072 E228100:E228108 E228136:E228144 E228172:E228180 E228208:E228216 E228244:E228252 E228280:E228288 E228316:E228324 E228352:E228360 E228388:E228396 E228424:E228432 E228460:E228468 E228496:E228504 E228532:E228540 E228568:E228576 E228604:E228612 E228640:E228648 E228676:E228684 E228712:E228720 E228748:E228756 E228784:E228792 E228820:E228828 E228856:E228864 E228892:E228900 E228928:E228936 E228964:E228972 E229000:E229008 E229036:E229044 E229072:E229080 E229108:E229116 E229144:E229152 E229180:E229188 E229216:E229224 E229252:E229260 E229288:E229296 E229324:E229332 E229360:E229368 E229396:E229404 E229432:E229440 E229468:E229476 E229504:E229512 E229540:E229548 E229576:E229584 E229612:E229620 E229648:E229656 E229684:E229692 E229720:E229728 E229756:E229764 E229792:E229800 E229828:E229836 E229864:E229872 E229900:E229908 E229936:E229944 E229972:E229980 E230008:E230016 E230044:E230052 E230080:E230088 E230116:E230124 E230152:E230160 E230188:E230196 E230224:E230232 E230260:E230268 E230296:E230304 E230332:E230340 E230368:E230376 E230404:E230412 E230440:E230448 E230476:E230484 E230512:E230520 E230548:E230556 E230584:E230592 E230620:E230628 E230656:E230664 E230692:E230700 E230728:E230736 E230764:E230772 E230800:E230808 E230836:E230844 E230872:E230880 E230908:E230916 E230944:E230952 E230980:E230988 E231016:E231024 E231052:E231060 E231088:E231096 E231124:E231132 E231160:E231168 E231196:E231204 E231232:E231240 E231268:E231276 E231304:E231312 E231340:E231348 E231376:E231384 E231412:E231420 E231448:E231456 E231484:E231492 E231520:E231528 E231556:E231564 E231592:E231600 E231628:E231636 E231664:E231672 E231700:E231708 E231736:E231744 E231772:E231780 E231808:E231816 E231844:E231852 E231880:E231888 E231916:E231924 E231952:E231960 E231988:E231996 E232024:E232032 E232060:E232068 E232096:E232104 E232132:E232140 E232168:E232176 E232204:E232212 E232240:E232248 E232276:E232284 E232312:E232320 E232348:E232356 E232384:E232392 E232420:E232428 E232456:E232464 E232492:E232500 E232528:E232536 E232564:E232572 E232600:E232608 E232636:E232644 E232672:E232680 E232708:E232716 E232744:E232752 E232780:E232788 E232816:E232824 E232852:E232860 E232888:E232896 E232924:E232932 E232960:E232968 E232996:E233004 E233032:E233040 E233068:E233076 E233104:E233112 E233140:E233148 E233176:E233184 E233212:E233220 E233248:E233256 E233284:E233292 E233320:E233328 E233356:E233364 E233392:E233400 E233428:E233436 E233464:E233472 E233500:E233508 E233536:E233544 E233572:E233580 E233608:E233616 E233644:E233652 E233680:E233688 E233716:E233724 E233752:E233760 E233788:E233796 E233824:E233832 E233860:E233868 E233896:E233904 E233932:E233940 E233968:E233976 E234004:E234012 E234040:E234048 E234076:E234084 E234112:E234120 E234148:E234156 E234184:E234192 E234220:E234228 E234256:E234264 E234292:E234300 E234328:E234336 E234364:E234372 E234400:E234408 E234436:E234444 E234472:E234480 E234508:E234516 E234544:E234552 E234580:E234588 E234616:E234624 E234652:E234660 E234688:E234696 E234724:E234732 E234760:E234768 E234796:E234804 E234832:E234840 E234868:E234876 E234904:E234912 E234940:E234948 E234976:E234984 E235012:E235020 E235048:E235056 E235084:E235092 E235120:E235128 E235156:E235164 E235192:E235200 E235228:E235236 E235264:E235272 E235300:E235308 E235336:E235344 E235372:E235380 E235408:E235416 E235444:E235452 E235480:E235488 E235516:E235524 E235552:E235560 E235588:E235596 E235624:E235632 E235660:E235668 E235696:E235704 E235732:E235740 E235768:E235776 E235804:E235812 E235840:E235848 E235876:E235884 E235912:E235920 E235948:E235956 E235984:E235992 E236020:E236028 E236056:E236064 E236092:E236100 E236128:E236136 E236164:E236172 E236200:E236208 E236236:E236244 E236272:E236280 E236308:E236316 E236344:E236352 E236380:E236388 E236416:E236424 E236452:E236460 E236488:E236496 E236524:E236532 E236560:E236568 E236596:E236604 E236632:E236640 E236668:E236676 E236704:E236712 E236740:E236748 E236776:E236784 E236812:E236820 E236848:E236856 E236884:E236892 E236920:E236928 E236956:E236964 E236992:E237000 E237028:E237036 E237064:E237072 E237100:E237108 E237136:E237144 E237172:E237180 E237208:E237216 E237244:E237252 E237280:E237288 E237316:E237324 E237352:E237360 E237388:E237396 E237424:E237432 E237460:E237468 E237496:E237504 E237532:E237540 E237568:E237576 E237604:E237612 E237640:E237648 E237676:E237684 E237712:E237720 E237748:E237756 E237784:E237792 E237820:E237828 E237856:E237864 E237892:E237900 E237928:E237936 E237964:E237972 E238000:E238008 E238036:E238044 E238072:E238080 E238108:E238116 E238144:E238152 E238180:E238188 E238216:E238224 E238252:E238260 E238288:E238296 E238324:E238332 E238360:E238368 E238396:E238404 E238432:E238440 E238468:E238476 E238504:E238512 E238540:E238548 E238576:E238584 E238612:E238620 E238648:E238656 E238684:E238692 E238720:E238728 E238756:E238764 E238792:E238800 E238828:E238836 E238864:E238872 E238900:E238908 E238936:E238944 E238972:E238980 E239008:E239016 E239044:E239052 E239080:E239088 E239116:E239124 E239152:E239160 E239188:E239196 E239224:E239232 E239260:E239268 E239296:E239304 E239332:E239340 E239368:E239376 E239404:E239412 E239440:E239448 E239476:E239484 E239512:E239520 E239548:E239556 E239584:E239592 E239620:E239628 E239656:E239664 E239692:E239700 E239728:E239736 E239764:E239772 E239800:E239808 E239836:E239844 E239872:E239880 E239908:E239916 E239944:E239952 E239980:E239988 E240016:E240024 E240052:E240060 E240088:E240096 E240124:E240132 E240160:E240168 E240196:E240204 E240232:E240240 E240268:E240276 E240304:E240312 E240340:E240348 E240376:E240384 E240412:E240420 E240448:E240456 E240484:E240492 E240520:E240528 E240556:E240564 E240592:E240600 E240628:E240636 E240664:E240672 E240700:E240708 E240736:E240744 E240772:E240780 E240808:E240816 E240844:E240852 E240880:E240888 E240916:E240924 E240952:E240960 E240988:E240996 E241024:E241032 E241060:E241068 E241096:E241104 E241132:E241140 E241168:E241176 E241204:E241212 E241240:E241248 E241276:E241284 E241312:E241320 E241348:E241356 E241384:E241392 E241420:E241428 E241456:E241464 E241492:E241500 E241528:E241536 E241564:E241572 E241600:E241608 E241636:E241644 E241672:E241680 E241708:E241716 E241744:E241752 E241780:E241788 E241816:E241824 E241852:E241860 E241888:E241896 E241924:E241932 E241960:E241968 E241996:E242004 E242032:E242040 E242068:E242076 E242104:E242112 E242140:E242148 E242176:E242184 E242212:E242220 E242248:E242256 E242284:E242292 E242320:E242328 E242356:E242364 E242392:E242400 E242428:E242436 E242464:E242472 E242500:E242508 E242536:E242544 E242572:E242580 E242608:E242616 E242644:E242652 E242680:E242688 E242716:E242724 E242752:E242760 E242788:E242796 E242824:E242832 E242860:E242868 E242896:E242904 E242932:E242940 E242968:E242976 E243004:E243012 E243040:E243048 E243076:E243084 E243112:E243120 E243148:E243156 E243184:E243192 E243220:E243228 E243256:E243264 E243292:E243300 E243328:E243336 E243364:E243372 E243400:E243408 E243436:E243444 E243472:E243480 E243508:E243516 E243544:E243552 E243580:E243588 E243616:E243624 E243652:E243660 E243688:E243696 E243724:E243732 E243760:E243768 E243796:E243804 E243832:E243840 E243868:E243876 E243904:E243912 E243940:E243948 E243976:E243984 E244012:E244020 E244048:E244056 E244084:E244092 E244120:E244128 E244156:E244164 E244192:E244200 E244228:E244236 E244264:E244272 E244300:E244308 E244336:E244344 E244372:E244380 E244408:E244416 E244444:E244452 E244480:E244488 E244516:E244524 E244552:E244560 E244588:E244596 E244624:E244632 E244660:E244668 E244696:E244704 E244732:E244740 E244768:E244776 E244804:E244812 E244840:E244848 E244876:E244884 E244912:E244920 E244948:E244956 E244984:E244992 E245020:E245028 E245056:E245064 E245092:E245100 E245128:E245136 E245164:E245172 E245200:E245208 E245236:E245244 E245272:E245280 E245308:E245316 E245344:E245352 E245380:E245388 E245416:E245424 E245452:E245460 E245488:E245496 E245524:E245532 E245560:E245568 E245596:E245604 E245632:E245640 E245668:E245676 E245704:E245712 E245740:E245748 E245776:E245784 E245812:E245820 E245848:E245856 E245884:E245892 E245920:E245928 E245956:E245964 E245992:E246000 E246028:E246036 E246064:E246072 E246100:E246108 E246136:E246144 E246172:E246180 E246208:E246216 E246244:E246252 E246280:E246288 E246316:E246324 E246352:E246360 E246388:E246396 E246424:E246432 E246460:E246468 E246496:E246504 E246532:E246540 E246568:E246576 E246604:E246612 E246640:E246648 E246676:E246684 E246712:E246720 E246748:E246756 E246784:E246792 E246820:E246828 E246856:E246864 E246892:E246900 E246928:E246936 E246964:E246972 E247000:E247008 E247036:E247044 E247072:E247080 E247108:E247116 E247144:E247152 E247180:E247188 E247216:E247224 E247252:E247260 E247288:E247296 E247324:E247332 E247360:E247368 E247396:E247404 E247432:E247440 E247468:E247476 E247504:E247512 E247540:E247548 E247576:E247584 E247612:E247620 E247648:E247656 E247684:E247692 E247720:E247728 E247756:E247764 E247792:E247800 E247828:E247836 E247864:E247872 E247900:E247908 E247936:E247944 E247972:E247980 E248008:E248016 E248044:E248052 E248080:E248088 E248116:E248124 E248152:E248160 E248188:E248196 E248224:E248232 E248260:E248268 E248296:E248304 E248332:E248340 E248368:E248376 E248404:E248412 E248440:E248448 E248476:E248484 E248512:E248520 E248548:E248556 E248584:E248592 E248620:E248628 E248656:E248664 E248692:E248700 E248728:E248736 E248764:E248772 E248800:E248808 E248836:E248844 E248872:E248880 E248908:E248916 E248944:E248952 E248980:E248988 E249016:E249024 E249052:E249060 E249088:E249096 E249124:E249132 E249160:E249168 E249196:E249204 E249232:E249240 E249268:E249276 E249304:E249312 E249340:E249348 E249376:E249384 E249412:E249420 E249448:E249456 E249484:E249492 E249520:E249528 E249556:E249564 E249592:E249600 E249628:E249636 E249664:E249672 E249700:E249708 E249736:E249744 E249772:E249780 E249808:E249816 E249844:E249852 E249880:E249888 E249916:E249924 E249952:E249960 E249988:E249996 E250024:E250032 E250060:E250068 E250096:E250104 E250132:E250140 E250168:E250176 E250204:E250212 E250240:E250248 E250276:E250284 E250312:E250320 E250348:E250356 E250384:E250392 E250420:E250428 E250456:E250464 E250492:E250500 E250528:E250536 E250564:E250572 E250600:E250608 E250636:E250644 E250672:E250680 E250708:E250716 E250744:E250752 E250780:E250788 E250816:E250824 E250852:E250860 E250888:E250896 E250924:E250932 E250960:E250968 E250996:E251004 E251032:E251040 E251068:E251076 E251104:E251112 E251140:E251148 E251176:E251184 E251212:E251220 E251248:E251256 E251284:E251292 E251320:E251328 E251356:E251364 E251392:E251400 E251428:E251436 E251464:E251472 E251500:E251508 E251536:E251544 E251572:E251580 E251608:E251616 E251644:E251652 E251680:E251688 E251716:E251724 E251752:E251760 E251788:E251796 E251824:E251832 E251860:E251868 E251896:E251904 E251932:E251940 E251968:E251976 E252004:E252012 E252040:E252048 E252076:E252084 E252112:E252120 E252148:E252156 E252184:E252192 E252220:E252228 E252256:E252264 E252292:E252300 E252328:E252336 E252364:E252372 E252400:E252408 E252436:E252444 E252472:E252480 E252508:E252516 E252544:E252552 E252580:E252588 E252616:E252624 E252652:E252660 E252688:E252696 E252724:E252732 E252760:E252768 E252796:E252804 E252832:E252840 E252868:E252876 E252904:E252912 E252940:E252948 E252976:E252984 E253012:E253020 E253048:E253056 E253084:E253092 E253120:E253128 E253156:E253164 E253192:E253200 E253228:E253236 E253264:E253272 E253300:E253308 E253336:E253344 E253372:E253380 E253408:E253416 E253444:E253452 E253480:E253488 E253516:E253524 E253552:E253560 E253588:E253596 E253624:E253632 E253660:E253668 E253696:E253704 E253732:E253740 E253768:E253776 E253804:E253812 E253840:E253848 E253876:E253884 E253912:E253920 E253948:E253956 E253984:E253992 E254020:E254028 E254056:E254064 E254092:E254100 E254128:E254136 E254164:E254172 E254200:E254208 E254236:E254244 E254272:E254280 E254308:E254316 E254344:E254352 E254380:E254388 E254416:E254424 E254452:E254460 E254488:E254496 E254524:E254532 E254560:E254568 E254596:E254604 E254632:E254640 E254668:E254676 E254704:E254712 E254740:E254748 E254776:E254784 E254812:E254820 E254848:E254856 E254884:E254892 E254920:E254928 E254956:E254964 E254992:E255000 E255028:E255036 E255064:E255072 E255100:E255108 E255136:E255144 E255172:E255180 E255208:E255216 E255244:E255252 E255280:E255288 E255316:E255324 E255352:E255360 E255388:E255396 E255424:E255432 E255460:E255468 E255496:E255504 E255532:E255540 E255568:E255576 E255604:E255612 E255640:E255648 E255676:E255684 E255712:E255720 E255748:E255756 E255784:E255792 E255820:E255828 E255856:E255864 E255892:E255900 E255928:E255936 E255964:E255972 E256000:E256008 E256036:E256044 E256072:E256080 E256108:E256116 E256144:E256152 E256180:E256188 E256216:E256224 E256252:E256260 E256288:E256296 E256324:E256332 E256360:E256368 E256396:E256404 E256432:E256440 E256468:E256476 E256504:E256512 E256540:E256548 E256576:E256584 E256612:E256620 E256648:E256656 E256684:E256692 E256720:E256728 E256756:E256764 E256792:E256800 E256828:E256836 E256864:E256872 E256900:E256908 E256936:E256944 E256972:E256980 E257008:E257016 E257044:E257052 E257080:E257088 E257116:E257124 E257152:E257160 E257188:E257196 E257224:E257232 E257260:E257268 E257296:E257304 E257332:E257340 E257368:E257376 E257404:E257412 E257440:E257448 E257476:E257484 E257512:E257520 E257548:E257556 E257584:E257592 E257620:E257628 E257656:E257664 E257692:E257700 E257728:E257736 E257764:E257772 E257800:E257808 E257836:E257844 E257872:E257880 E257908:E257916 E257944:E257952 E257980:E257988 E258016:E258024 E258052:E258060 E258088:E258096 E258124:E258132 E258160:E258168 E258196:E258204 E258232:E258240 E258268:E258276 E258304:E258312 E258340:E258348 E258376:E258384 E258412:E258420 E258448:E258456 E258484:E258492 E258520:E258528 E258556:E258564 E258592:E258600 E258628:E258636 E258664:E258672 E258700:E258708 E258736:E258744 E258772:E258780 E258808:E258816 E258844:E258852 E258880:E258888 E258916:E258924 E258952:E258960 E258988:E258996 E259024:E259032 E259060:E259068 E259096:E259104 E259132:E259140 E259168:E259176 E259204:E259212 E259240:E259248 E259276:E259284 E259312:E259320 E259348:E259356 E259384:E259392 E259420:E259428 E259456:E259464 E259492:E259500 E259528:E259536 E259564:E259572 E259600:E259608 E259636:E259644 E259672:E259680 E259708:E259716 E259744:E259752 E259780:E259788 E259816:E259824 E259852:E259860 E259888:E259896 E259924:E259932 E259960:E259968 E259996:E260004 E260032:E260040 E260068:E260076 E260104:E260112 E260140:E260148 E260176:E260184 E260212:E260220 E260248:E260256 E260284:E260292 E260320:E260328 E260356:E260364 E260392:E260400 E260428:E260436 E260464:E260472 E260500:E260508 E260536:E260544 E260572:E260580 E260608:E260616 E260644:E260652 E260680:E260688 E260716:E260724 E260752:E260760 E260788:E260796 E260824:E260832 E260860:E260868 E260896:E260904 E260932:E260940 E260968:E260976 E261004:E261012 E261040:E261048 E261076:E261084 E261112:E261120 E261148:E261156 E261184:E261192 E261220:E261228 E261256:E261264 E261292:E261300 E261328:E261336 E261364:E261372 E261400:E261408 E261436:E261444 E261472:E261480 E261508:E261516 E261544:E261552 E261580:E261588 E261616:E261624 E261652:E261660 E261688:E261696 E261724:E261732 E261760:E261768 E261796:E261804 E261832:E261840 E261868:E261876 E261904:E261912 E261940:E261948 E261976:E261984 E262012:E262020 E262048:E262056 E262084:E262092 E262120:E262128 E262156:E262164 E262192:E262200 E262228:E262236 E262264:E262272 E262300:E262308 E262336:E262344 E262372:E262380 E262408:E262416 E262444:E262452 E262480:E262488 E262516:E262524 E262552:E262560 E262588:E262596 E262624:E262632 E262660:E262668 E262696:E262704 E262732:E262740 E262768:E262776 E262804:E262812 E262840:E262848 E262876:E262884 E262912:E262920 E262948:E262956 E262984:E262992 E263020:E263028 E263056:E263064 E263092:E263100 E263128:E263136 E263164:E263172 E263200:E263208 E263236:E263244 E263272:E263280 E263308:E263316 E263344:E263352 E263380:E263388 E263416:E263424 E263452:E263460 E263488:E263496 E263524:E263532 E263560:E263568 E263596:E263604 E263632:E263640 E263668:E263676 E263704:E263712 E263740:E263748 E263776:E263784 E263812:E263820 E263848:E263856 E263884:E263892 E263920:E263928 E263956:E263964 E263992:E264000 E264028:E264036 E264064:E264072 E264100:E264108 E264136:E264144 E264172:E264180 E264208:E264216 E264244:E264252 E264280:E264288 E264316:E264324 E264352:E264360 E264388:E264396 E264424:E264432 E264460:E264468 E264496:E264504 E264532:E264540 E264568:E264576 E264604:E264612 E264640:E264648 E264676:E264684 E264712:E264720 E264748:E264756 E264784:E264792 E264820:E264828 E264856:E264864 E264892:E264900 E264928:E264936 E264964:E264972 E265000:E265008 E265036:E265044 E265072:E265080 E265108:E265116 E265144:E265152 E265180:E265188 E265216:E265224 E265252:E265260 E265288:E265296 E265324:E265332 E265360:E265368 E265396:E265404 E265432:E265440 E265468:E265476 E265504:E265512 E265540:E265548 E265576:E265584 E265612:E265620 E265648:E265656 E265684:E265692 E265720:E265728 E265756:E265764 E265792:E265800 E265828:E265836 E265864:E265872 E265900:E265908 E265936:E265944 E265972:E265980 E266008:E266016 E266044:E266052 E266080:E266088 E266116:E266124 E266152:E266160 E266188:E266196 E266224:E266232 E266260:E266268 E266296:E266304 E266332:E266340 E266368:E266376 E266404:E266412 E266440:E266448 E266476:E266484 E266512:E266520 E266548:E266556 E266584:E266592 E266620:E266628 E266656:E266664 E266692:E266700 E266728:E266736 E266764:E266772 E266800:E266808 E266836:E266844 E266872:E266880 E266908:E266916 E266944:E266952 E266980:E266988 E267016:E267024 E267052:E267060 E267088:E267096 E267124:E267132 E267160:E267168 E267196:E267204 E267232:E267240 E267268:E267276 E267304:E267312 E267340:E267348 E267376:E267384 E267412:E267420 E267448:E267456 E267484:E267492 E267520:E267528 E267556:E267564 E267592:E267600 E267628:E267636 E267664:E267672 E267700:E267708 E267736:E267744 E267772:E267780 E267808:E267816 E267844:E267852 E267880:E267888 E267916:E267924 E267952:E267960 E267988:E267996 E268024:E268032 E268060:E268068 E268096:E268104 E268132:E268140 E268168:E268176 E268204:E268212 E268240:E268248 E268276:E268284 E268312:E268320 E268348:E268356 E268384:E268392 E268420:E268428 E268456:E268464 E268492:E268500 E268528:E268536 E268564:E268572 E268600:E268608 E268636:E268644 E268672:E268680 E268708:E268716 E268744:E268752 E268780:E268788 E268816:E268824 E268852:E268860 E268888:E268896 E268924:E268932 E268960:E268968 E268996:E269004 E269032:E269040 E269068:E269076 E269104:E269112 E269140:E269148 E269176:E269184 E269212:E269220 E269248:E269256 E269284:E269292 E269320:E269328 E269356:E269364 E269392:E269400 E269428:E269436 E269464:E269472 E269500:E269508 E269536:E269544 E269572:E269580 E269608:E269616 E269644:E269652 E269680:E269688 E269716:E269724 E269752:E269760 E269788:E269796 E269824:E269832 E269860:E269868 E269896:E269904 E269932:E269940 E269968:E269976 E270004:E270012 E270040:E270048 E270076:E270084 E270112:E270120 E270148:E270156 E270184:E270192 E270220:E270228 E270256:E270264 E270292:E270300 E270328:E270336 E270364:E270372 E270400:E270408 E270436:E270444 E270472:E270480 E270508:E270516 E270544:E270552 E270580:E270588 E270616:E270624 E270652:E270660 E270688:E270696 E270724:E270732 E270760:E270768 E270796:E270804 E270832:E270840 E270868:E270876 E270904:E270912 E270940:E270948 E270976:E270984 E271012:E271020 E271048:E271056 E271084:E271092 E271120:E271128 E271156:E271164 E271192:E271200 E271228:E271236 E271264:E271272 E271300:E271308 E271336:E271344 E271372:E271380 E271408:E271416 E271444:E271452 E271480:E271488 E271516:E271524 E271552:E271560 E271588:E271596 E271624:E271632 E271660:E271668 E271696:E271704 E271732:E271740 E271768:E271776 E271804:E271812 E271840:E271848 E271876:E271884 E271912:E271920 E271948:E271956 E271984:E271992 E272020:E272028 E272056:E272064 E272092:E272100 E272128:E272136 E272164:E272172 E272200:E272208 E272236:E272244 E272272:E272280 E272308:E272316 E272344:E272352 E272380:E272388 E272416:E272424 E272452:E272460 E272488:E272496 E272524:E272532 E272560:E272568 E272596:E272604 E272632:E272640 E272668:E272676 E272704:E272712 E272740:E272748 E272776:E272784 E272812:E272820 E272848:E272856 E272884:E272892 E272920:E272928 E272956:E272964 E272992:E273000 E273028:E273036 E273064:E273072 E273100:E273108 E273136:E273144 E273172:E273180 E273208:E273216 E273244:E273252 E273280:E273288 E273316:E273324 E273352:E273360 E273388:E273396 E273424:E273432 E273460:E273468 E273496:E273504 E273532:E273540 E273568:E273576 E273604:E273612 E273640:E273648 E273676:E273684 E273712:E273720 E273748:E273756 E273784:E273792 E273820:E273828 E273856:E273864 E273892:E273900 E273928:E273936 E273964:E273972 E274000:E274008 E274036:E274044 E274072:E274080 E274108:E274116 E274144:E274152 E274180:E274188 E274216:E274224 E274252:E274260 E274288:E274296 E274324:E274332 E274360:E274368 E274396:E274404 E274432:E274440 E274468:E274476 E274504:E274512 E274540:E274548 E274576:E274584 E274612:E274620 E274648:E274656 E274684:E274692 E274720:E274728 E274756:E274764 E274792:E274800 E274828:E274836 E274864:E274872 E274900:E274908 E274936:E274944 E274972:E274980 E275008:E275016 E275044:E275052 E275080:E275088 E275116:E275124 E275152:E275160 E275188:E275196 E275224:E275232 E275260:E275268 E275296:E275304 E275332:E275340 E275368:E275376 E275404:E275412 E275440:E275448 E275476:E275484 E275512:E275520 E275548:E275556 E275584:E275592 E275620:E275628 E275656:E275664 E275692:E275700 E275728:E275736 E275764:E275772 E275800:E275808 E275836:E275844 E275872:E275880 E275908:E275916 E275944:E275952 E275980:E275988 E276016:E276024 E276052:E276060 E276088:E276096 E276124:E276132 E276160:E276168 E276196:E276204 E276232:E276240 E276268:E276276 E276304:E276312 E276340:E276348 E276376:E276384 E276412:E276420 E276448:E276456 E276484:E276492 E276520:E276528 E276556:E276564 E276592:E276600 E276628:E276636 E276664:E276672 E276700:E276708 E276736:E276744 E276772:E276780 E276808:E276816 E276844:E276852 E276880:E276888 E276916:E276924 E276952:E276960 E276988:E276996 E277024:E277032 E277060:E277068 E277096:E277104 E277132:E277140 E277168:E277176 E277204:E277212 E277240:E277248 E277276:E277284 E277312:E277320 E277348:E277356 E277384:E277392 E277420:E277428 E277456:E277464 E277492:E277500 E277528:E277536 E277564:E277572 E277600:E277608 E277636:E277644 E277672:E277680 E277708:E277716 E277744:E277752 E277780:E277788 E277816:E277824 E277852:E277860 E277888:E277896 E277924:E277932 E277960:E277968 E277996:E278004 E278032:E278040 E278068:E278076 E278104:E278112 E278140:E278148 E278176:E278184 E278212:E278220 E278248:E278256 E278284:E278292 E278320:E278328 E278356:E278364 E278392:E278400 E278428:E278436 E278464:E278472 E278500:E278508 E278536:E278544 E278572:E278580 E278608:E278616 E278644:E278652 E278680:E278688 E278716:E278724 E278752:E278760 E278788:E278796 E278824:E278832 E278860:E278868 E278896:E278904 E278932:E278940 E278968:E278976 E279004:E279012 E279040:E279048 E279076:E279084 E279112:E279120 E279148:E279156 E279184:E279192 E279220:E279228 E279256:E279264 E279292:E279300 E279328:E279336 E279364:E279372 E279400:E279408 E279436:E279444 E279472:E279480 E279508:E279516 E279544:E279552 E279580:E279588 E279616:E279624 E279652:E279660 E279688:E279696 E279724:E279732 E279760:E279768 E279796:E279804 E279832:E279840 E279868:E279876 E279904:E279912 E279940:E279948 E279976:E279984 E280012:E280020 E280048:E280056 E280084:E280092 E280120:E280128 E280156:E280164 E280192:E280200 E280228:E280236 E280264:E280272 E280300:E280308 E280336:E280344 E280372:E280380 E280408:E280416 E280444:E280452 E280480:E280488 E280516:E280524 E280552:E280560 E280588:E280596 E280624:E280632 E280660:E280668 E280696:E280704 E280732:E280740 E280768:E280776 E280804:E280812 E280840:E280848 E280876:E280884 E280912:E280920 E280948:E280956 E280984:E280992 E281020:E281028 E281056:E281064 E281092:E281100 E281128:E281136 E281164:E281172 E281200:E281208 E281236:E281244 E281272:E281280 E281308:E281316 E281344:E281352 E281380:E281388 E281416:E281424 E281452:E281460 E281488:E281496 E281524:E281532 E281560:E281568 E281596:E281604 E281632:E281640 E281668:E281676 E281704:E281712 E281740:E281748 E281776:E281784 E281812:E281820 E281848:E281856 E281884:E281892 E281920:E281928 E281956:E281964 E281992:E282000 E282028:E282036 E282064:E282072 E282100:E282108 E282136:E282144 E282172:E282180 E282208:E282216 E282244:E282252 E282280:E282288 E282316:E282324 E282352:E282360 E282388:E282396 E282424:E282432 E282460:E282468 E282496:E282504 E282532:E282540 E282568:E282576 E282604:E282612 E282640:E282648 E282676:E282684 E282712:E282720 E282748:E282756 E282784:E282792 E282820:E282828 E282856:E282864 E282892:E282900 E282928:E282936 E282964:E282972 E283000:E283008 E283036:E283044 E283072:E283080 E283108:E283116 E283144:E283152 E283180:E283188 E283216:E283224 E283252:E283260 E283288:E283296 E283324:E283332 E283360:E283368 E283396:E283404 E283432:E283440 E283468:E283476 E283504:E283512 E283540:E283548 E283576:E283584 E283612:E283620 E283648:E283656 E283684:E283692 E283720:E283728 E283756:E283764 E283792:E283800 E283828:E283836 E283864:E283872 E283900:E283908 E283936:E283944 E283972:E283980 E284008:E284016 E284044:E284052 E284080:E284088 E284116:E284124 E284152:E284160 E284188:E284196 E284224:E284232 E284260:E284268 E284296:E284304 E284332:E284340 E284368:E284376 E284404:E284412 E284440:E284448 E284476:E284484 E284512:E284520 E284548:E284556 E284584:E284592 E284620:E284628 E284656:E284664 E284692:E284700 E284728:E284736 E284764:E284772 E284800:E284808 E284836:E284844 E284872:E284880 E284908:E284916 E284944:E284952 E284980:E284988 E285016:E285024 E285052:E285060 E285088:E285096 E285124:E285132 E285160:E285168 E285196:E285204 E285232:E285240 E285268:E285276 E285304:E285312 E285340:E285348 E285376:E285384 E285412:E285420 E285448:E285456 E285484:E285492 E285520:E285528 E285556:E285564 E285592:E285600 E285628:E285636 E285664:E285672 E285700:E285708 E285736:E285744 E285772:E285780 E285808:E285816 E285844:E285852 E285880:E285888 E285916:E285924 E285952:E285960 E285988:E285996 E286024:E286032 E286060:E286068 E286096:E286104 E286132:E286140 E286168:E286176 E286204:E286212 E286240:E286248 E286276:E286284 E286312:E286320 E286348:E286356 E286384:E286392 E286420:E286428 E286456:E286464 E286492:E286500 E286528:E286536 E286564:E286572 E286600:E286608 E286636:E286644 E286672:E286680 E286708:E286716 E286744:E286752 E286780:E286788 E286816:E286824 E286852:E286860 E286888:E286896 E286924:E286932 E286960:E286968 E286996:E287004 E287032:E287040 E287068:E287076 E287104:E287112 E287140:E287148 E287176:E287184 E287212:E287220 E287248:E287256 E287284:E287292 E287320:E287328 E287356:E287364 E287392:E287400 E287428:E287436 E287464:E287472 E287500:E287508 E287536:E287544 E287572:E287580 E287608:E287616 E287644:E287652 E287680:E287688 E287716:E287724 E287752:E287760 E287788:E287796 E287824:E287832 E287860:E287868 E287896:E287904 E287932:E287940 E287968:E287976 E288004:E288012 E288040:E288048 E288076:E288084 E288112:E288120 E288148:E288156 E288184:E288192 E288220:E288228 E288256:E288264 E288292:E288300 E288328:E288336 E288364:E288372 E288400:E288408 E288436:E288444 E288472:E288480 E288508:E288516 E288544:E288552 E288580:E288588 E288616:E288624 E288652:E288660 E288688:E288696 E288724:E288732 E288760:E288768 E288796:E288804 E288832:E288840 E288868:E288876 E288904:E288912 E288940:E288948 E288976:E288984 E289012:E289020 E289048:E289056 E289084:E289092 E289120:E289128 E289156:E289164 E289192:E289200 E289228:E289236 E289264:E289272 E289300:E289308 E289336:E289344 E289372:E289380 E289408:E289416 E289444:E289452 E289480:E289488 E289516:E289524 E289552:E289560 E289588:E289596 E289624:E289632 E289660:E289668 E289696:E289704 E289732:E289740 E289768:E289776 E289804:E289812 E289840:E289848 E289876:E289884 E289912:E289920 E289948:E289956 E289984:E289992 E290020:E290028 E290056:E290064 E290092:E290100 E290128:E290136 E290164:E290172 E290200:E290208 E290236:E290244 E290272:E290280 E290308:E290316 E290344:E290352 E290380:E290388 E290416:E290424 E290452:E290460 E290488:E290496 E290524:E290532 E290560:E290568 E290596:E290604 E290632:E290640 E290668:E290676 E290704:E290712 E290740:E290748 E290776:E290784 E290812:E290820 E290848:E290856 E290884:E290892 E290920:E290928 E290956:E290964 E290992:E291000 E291028:E291036 E291064:E291072 E291100:E291108 E291136:E291144 E291172:E291180 E291208:E291216 E291244:E291252 E291280:E291288 E291316:E291324 E291352:E291360 E291388:E291396 E291424:E291432 E291460:E291468 E291496:E291504 E291532:E291540 E291568:E291576 E291604:E291612 E291640:E291648 E291676:E291684 E291712:E291720 E291748:E291756 E291784:E291792 E291820:E291828 E291856:E291864 E291892:E291900 E291928:E291936 E291964:E291972 E292000:E292008 E292036:E292044 E292072:E292080 E292108:E292116 E292144:E292152 E292180:E292188 E292216:E292224 E292252:E292260 E292288:E292296 E292324:E292332 E292360:E292368 E292396:E292404 E292432:E292440 E292468:E292476 E292504:E292512 E292540:E292548 E292576:E292584 E292612:E292620 E292648:E292656 E292684:E292692 E292720:E292728 E292756:E292764 E292792:E292800 E292828:E292836 E292864:E292872 E292900:E292908 E292936:E292944 E292972:E292980 E293008:E293016 E293044:E293052 E293080:E293088 E293116:E293124 E293152:E293160 E293188:E293196 E293224:E293232 E293260:E293268 E293296:E293304 E293332:E293340 E293368:E293376 E293404:E293412 E293440:E293448 E293476:E293484 E293512:E293520 E293548:E293556 E293584:E293592 E293620:E293628 E293656:E293664 E293692:E293700 E293728:E293736 E293764:E293772 E293800:E293808 E293836:E293844 E293872:E293880 E293908:E293916 E293944:E293952 E293980:E293988 E294016:E294024 E294052:E294060 E294088:E294096 E294124:E294132 E294160:E294168 E294196:E294204 E294232:E294240 E294268:E294276 E294304:E294312 E294340:E294348 E294376:E294384 E294412:E294420 E294448:E294456 E294484:E294492 E294520:E294528 E294556:E294564 E294592:E294600 E294628:E294636 E294664:E294672 E294700:E294708 E294736:E294744 E294772:E294780 E294808:E294816 E294844:E294852 E294880:E294888 E294916:E294924 E294952:E294960 E294988:E294996 E295024:E295032 E295060:E295068 E295096:E295104 E295132:E295140 E295168:E295176 E295204:E295212 E295240:E295248 E295276:E295284 E295312:E295320 E295348:E295356 E295384:E295392 E295420:E295428 E295456:E295464 E295492:E295500 E295528:E295536 E295564:E295572 E295600:E295608 E295636:E295644 E295672:E295680 E295708:E295716 E295744:E295752 E295780:E295788 E295816:E295824 E295852:E295860 E295888:E295896 E295924:E295932 E295960:E295968 E295996:E296004 E296032:E296040 E296068:E296076 E296104:E296112 E296140:E296148 E296176:E296184 E296212:E296220 E296248:E296256 E296284:E296292 E296320:E296328 E296356:E296364 E296392:E296400 E296428:E296436 E296464:E296472 E296500:E296508 E296536:E296544 E296572:E296580 E296608:E296616 E296644:E296652 E296680:E296688 E296716:E296724 E296752:E296760 E296788:E296796 E296824:E296832 E296860:E296868 E296896:E296904 E296932:E296940 E296968:E296976 E297004:E297012 E297040:E297048 E297076:E297084 E297112:E297120 E297148:E297156 E297184:E297192 E297220:E297228 E297256:E297264 E297292:E297300 E297328:E297336 E297364:E297372 E297400:E297408 E297436:E297444 E297472:E297480 E297508:E297516 E297544:E297552 E297580:E297588 E297616:E297624 E297652:E297660 E297688:E297696 E297724:E297732 E297760:E297768 E297796:E297804 E297832:E297840 E297868:E297876 E297904:E297912 E297940:E297948 E297976:E297984 E298012:E298020 E298048:E298056 E298084:E298092 E298120:E298128 E298156:E298164 E298192:E298200 E298228:E298236 E298264:E298272 E298300:E298308 E298336:E298344 E298372:E298380 E298408:E298416 E298444:E298452 E298480:E298488 E298516:E298524 E298552:E298560 E298588:E298596 E298624:E298632 E298660:E298668 E298696:E298704 E298732:E298740 E298768:E298776 E298804:E298812 E298840:E298848 E298876:E298884 E298912:E298920 E298948:E298956 E298984:E298992 E299020:E299028 E299056:E299064 E299092:E299100 E299128:E299136 E299164:E299172 E299200:E299208 E299236:E299244 E299272:E299280 E299308:E299316 E299344:E299352 E299380:E299388 E299416:E299424 E299452:E299460 E299488:E299496 E299524:E299532 E299560:E299568 E299596:E299604 E299632:E299640 E299668:E299676 E299704:E299712 E299740:E299748 E299776:E299784 E299812:E299820 E299848:E299856 E299884:E299892 E299920:E299928 E299956:E299964 E299992:E300000 E300028:E300036 E300064:E300072 E300100:E300108 E300136:E300144 E300172:E300180 E300208:E300216 E300244:E300252 E300280:E300288 E300316:E300324 E300352:E300360 E300388:E300396 E300424:E300432 E300460:E300468 E300496:E300504 E300532:E300540 E300568:E300576 E300604:E300612 E300640:E300648 E300676:E300684 E300712:E300720 E300748:E300756 E300784:E300792 E300820:E300828 E300856:E300864 E300892:E300900 E300928:E300936 E300964:E300972 E301000:E301008 E301036:E301044 E301072:E301080 E301108:E301116 E301144:E301152 E301180:E301188 E301216:E301224 E301252:E301260 E301288:E301296 E301324:E301332 E301360:E301368 E301396:E301404 E301432:E301440 E301468:E301476 E301504:E301512 E301540:E301548 E301576:E301584 E301612:E301620 E301648:E301656 E301684:E301692 E301720:E301728 E301756:E301764 E301792:E301800 E301828:E301836 E301864:E301872 E301900:E301908 E301936:E301944 E301972:E301980 E302008:E302016 E302044:E302052 E302080:E302088 E302116:E302124 E302152:E302160 E302188:E302196 E302224:E302232 E302260:E302268 E302296:E302304 E302332:E302340 E302368:E302376 E302404:E302412 E302440:E302448 E302476:E302484 E302512:E302520 E302548:E302556 E302584:E302592 E302620:E302628 E302656:E302664 E302692:E302700 E302728:E302736 E302764:E302772 E302800:E302808 E302836:E302844 E302872:E302880 E302908:E302916 E302944:E302952 E302980:E302988 E303016:E303024 E303052:E303060 E303088:E303096 E303124:E303132 E303160:E303168 E303196:E303204 E303232:E303240 E303268:E303276 E303304:E303312 E303340:E303348 E303376:E303384 E303412:E303420 E303448:E303456 E303484:E303492 E303520:E303528 E303556:E303564 E303592:E303600 E303628:E303636 E303664:E303672 E303700:E303708 E303736:E303744 E303772:E303780 E303808:E303816 E303844:E303852 E303880:E303888 E303916:E303924 E303952:E303960 E303988:E303996 E304024:E304032 E304060:E304068 E304096:E304104 E304132:E304140 E304168:E304176 E304204:E304212 E304240:E304248 E304276:E304284 E304312:E304320 E304348:E304356 E304384:E304392 E304420:E304428 E304456:E304464 E304492:E304500 E304528:E304536 E304564:E304572 E304600:E304608 E304636:E304644 E304672:E304680 E304708:E304716 E304744:E304752 E304780:E304788 E304816:E304824 E304852:E304860 E304888:E304896 E304924:E304932 E304960:E304968 E304996:E305004 E305032:E305040 E305068:E305076 E305104:E305112 E305140:E305148 E305176:E305184 E305212:E305220 E305248:E305256 E305284:E305292 E305320:E305328 E305356:E305364 E305392:E305400 E305428:E305436 E305464:E305472 E305500:E305508 E305536:E305544 E305572:E305580 E305608:E305616 E305644:E305652 E305680:E305688 E305716:E305724 E305752:E305760 E305788:E305796 E305824:E305832 E305860:E305868 E305896:E305904 E305932:E305940 E305968:E305976 E306004:E306012 E306040:E306048 E306076:E306084 E306112:E306120 E306148:E306156 E306184:E306192 E306220:E306228 E306256:E306264 E306292:E306300 E306328:E306336 E306364:E306372 E306400:E306408 E306436:E306444 E306472:E306480 E306508:E306516 E306544:E306552 E306580:E306588 E306616:E306624 E306652:E306660 E306688:E306696 E306724:E306732 E306760:E306768 E306796:E306804 E306832:E306840 E306868:E306876 E306904:E306912 E306940:E306948 E306976:E306984 E307012:E307020 E307048:E307056 E307084:E307092 E307120:E307128 E307156:E307164 E307192:E307200 E307228:E307236 E307264:E307272 E307300:E307308 E307336:E307344 E307372:E307380 E307408:E307416 E307444:E307452 E307480:E307488 E307516:E307524 E307552:E307560 E307588:E307596 E307624:E307632 E307660:E307668 E307696:E307704 E307732:E307740 E307768:E307776 E307804:E307812 E307840:E307848 E307876:E307884 E307912:E307920 E307948:E307956 E307984:E307992 E308020:E308028 E308056:E308064 E308092:E308100 E308128:E308136 E308164:E308172 E308200:E308208 E308236:E308244 E308272:E308280 E308308:E308316 E308344:E308352 E308380:E308388 E308416:E308424 E308452:E308460 E308488:E308496 E308524:E308532 E308560:E308568 E308596:E308604 E308632:E308640 E308668:E308676 E308704:E308712 E308740:E308748 E308776:E308784 E308812:E308820 E308848:E308856 E308884:E308892 E308920:E308928 E308956:E308964 E308992:E309000 E309028:E309036 E309064:E309072 E309100:E309108 E309136:E309144 E309172:E309180 E309208:E309216 E309244:E309252 E309280:E309288 E309316:E309324 E309352:E309360 E309388:E309396 E309424:E309432 E309460:E309468 E309496:E309504 E309532:E309540 E309568:E309576 E309604:E309612 E309640:E309648 E309676:E309684 E309712:E309720 E309748:E309756 E309784:E309792 E309820:E309828 E309856:E309864 E309892:E309900 E309928:E309936 E309964:E309972 E310000:E310008 E310036:E310044 E310072:E310080 E310108:E310116 E310144:E310152 E310180:E310188 E310216:E310224 E310252:E310260 E310288:E310296 E310324:E310332 E310360:E310368 E310396:E310404 E310432:E310440 E310468:E310476 E310504:E310512 E310540:E310548 E310576:E310584 E310612:E310620 E310648:E310656 E310684:E310692 E310720:E310728 E310756:E310764 E310792:E310800 E310828:E310836 E310864:E310872 E310900:E310908 E310936:E310944 E310972:E310980 E311008:E311016 E311044:E311052 E311080:E311088 E311116:E311124 E311152:E311160 E311188:E311196 E311224:E311232 E311260:E311268 E311296:E311304 E311332:E311340 E311368:E311376 E311404:E311412 E311440:E311448 E311476:E311484 E311512:E311520 E311548:E311556 E311584:E311592 E311620:E311628 E311656:E311664 E311692:E311700 E311728:E311736 E311764:E311772 E311800:E311808 E311836:E311844 E311872:E311880 E311908:E311916 E311944:E311952 E311980:E311988 E312016:E312024 E312052:E312060 E312088:E312096 E312124:E312132 E312160:E312168 E312196:E312204 E312232:E312240 E312268:E312276 E312304:E312312 E312340:E312348 E312376:E312384 E312412:E312420 E312448:E312456 E312484:E312492 E312520:E312528 E312556:E312564 E312592:E312600 E312628:E312636 E312664:E312672 E312700:E312708 E312736:E312744 E312772:E312780 E312808:E312816 E312844:E312852 E312880:E312888 E312916:E312924 E312952:E312960 E312988:E312996 E313024:E313032 E313060:E313068 E313096:E313104 E313132:E313140 E313168:E313176 E313204:E313212 E313240:E313248 E313276:E313284 E313312:E313320 E313348:E313356 E313384:E313392 E313420:E313428 E313456:E313464 E313492:E313500 E313528:E313536 E313564:E313572 E313600:E313608 E313636:E313644 E313672:E313680 E313708:E313716 E313744:E313752 E313780:E313788 E313816:E313824 E313852:E313860 E313888:E313896 E313924:E313932 E313960:E313968 E313996:E314004 E314032:E314040 E314068:E314076 E314104:E314112 E314140:E314148 E314176:E314184 E314212:E314220 E314248:E314256 E314284:E314292 E314320:E314328 E314356:E314364 E314392:E314400 E314428:E314436 E314464:E314472 E314500:E314508 E314536:E314544 E314572:E314580 E314608:E314616 E314644:E314652 E314680:E314688 E314716:E314724 E314752:E314760 E314788:E314796 E314824:E314832 E314860:E314868 E314896:E314904 E314932:E314940 E314968:E314976 E315004:E315012 E315040:E315048 E315076:E315084 E315112:E315120 E315148:E315156 E315184:E315192 E315220:E315228 E315256:E315264 E315292:E315300 E315328:E315336 E315364:E315372 E315400:E315408 E315436:E315444 E315472:E315480 E315508:E315516 E315544:E315552 E315580:E315588 E315616:E315624 E315652:E315660 E315688:E315696 E315724:E315732 E315760:E315768 E315796:E315804 E315832:E315840 E315868:E315876 E315904:E315912 E315940:E315948 E315976:E315984 E316012:E316020 E316048:E316056 E316084:E316092 E316120:E316128 E316156:E316164 E316192:E316200 E316228:E316236 E316264:E316272 E316300:E316308 E316336:E316344 E316372:E316380 E316408:E316416 E316444:E316452 E316480:E316488 E316516:E316524 E316552:E316560 E316588:E316596 E316624:E316632 E316660:E316668 E316696:E316704 E316732:E316740 E316768:E316776 E316804:E316812 E316840:E316848 E316876:E316884 E316912:E316920 E316948:E316956 E316984:E316992 E317020:E317028 E317056:E317064 E317092:E317100 E317128:E317136 E317164:E317172 E317200:E317208 E317236:E317244 E317272:E317280 E317308:E317316 E317344:E317352 E317380:E317388 E317416:E317424 E317452:E317460 E317488:E317496 E317524:E317532 E317560:E317568 E317596:E317604 E317632:E317640 E317668:E317676 E317704:E317712 E317740:E317748 E317776:E317784 E317812:E317820 E317848:E317856 E317884:E317892 E317920:E317928 E317956:E317964 E317992:E318000 E318028:E318036 E318064:E318072 E318100:E318108 E318136:E318144 E318172:E318180 E318208:E318216 E318244:E318252 E318280:E318288 E318316:E318324 E318352:E318360 E318388:E318396 E318424:E318432 E318460:E318468 E318496:E318504 E318532:E318540 E318568:E318576 E318604:E318612 E318640:E318648 E318676:E318684 E318712:E318720 E318748:E318756 E318784:E318792 E318820:E318828 E318856:E318864 E318892:E318900 E318928:E318936 E318964:E318972 E319000:E319008 E319036:E319044 E319072:E319080 E319108:E319116 E319144:E319152 E319180:E319188 E319216:E319224 E319252:E319260 E319288:E319296 E319324:E319332 E319360:E319368 E319396:E319404 E319432:E319440 E319468:E319476 E319504:E319512 E319540:E319548 E319576:E319584 E319612:E319620 E319648:E319656 E319684:E319692 E319720:E319728 E319756:E319764 E319792:E319800 E319828:E319836 E319864:E319872 E319900:E319908 E319936:E319944 E319972:E319980 E320008:E320016 E320044:E320052 E320080:E320088 E320116:E320124 E320152:E320160 E320188:E320196 E320224:E320232 E320260:E320268 E320296:E320304 E320332:E320340 E320368:E320376 E320404:E320412 E320440:E320448 E320476:E320484 E320512:E320520 E320548:E320556 E320584:E320592 E320620:E320628 E320656:E320664 E320692:E320700 E320728:E320736 E320764:E320772 E320800:E320808 E320836:E320844 E320872:E320880 E320908:E320916 E320944:E320952 E320980:E320988 E321016:E321024 E321052:E321060 E321088:E321096 E321124:E321132 E321160:E321168 E321196:E321204 E321232:E321240 E321268:E321276 E321304:E321312 E321340:E321348 E321376:E321384 E321412:E321420 E321448:E321456 E321484:E321492 E321520:E321528 E321556:E321564 E321592:E321600 E321628:E321636 E321664:E321672 E321700:E321708 E321736:E321744 E321772:E321780 E321808:E321816 E321844:E321852 E321880:E321888 E321916:E321924 E321952:E321960 E321988:E321996 E322024:E322032 E322060:E322068 E322096:E322104 E322132:E322140 E322168:E322176 E322204:E322212 E322240:E322248 E322276:E322284 E322312:E322320 E322348:E322356 E322384:E322392 E322420:E322428 E322456:E322464 E322492:E322500 E322528:E322536 E322564:E322572 E322600:E322608 E322636:E322644 E322672:E322680 E322708:E322716 E322744:E322752 E322780:E322788 E322816:E322824 E322852:E322860 E322888:E322896 E322924:E322932 E322960:E322968 E322996:E323004 E323032:E323040 E323068:E323076 E323104:E323112 E323140:E323148 E323176:E323184 E323212:E323220 E323248:E323256 E323284:E323292 E323320:E323328 E323356:E323364 E323392:E323400 E323428:E323436 E323464:E323472 E323500:E323508 E323536:E323544 E323572:E323580 E323608:E323616 E323644:E323652 E323680:E323688 E323716:E323724 E323752:E323760 E323788:E323796 E323824:E323832 E323860:E323868 E323896:E323904 E323932:E323940 E323968:E323976 E324004:E324012 E324040:E324048 E324076:E324084 E324112:E324120 E324148:E324156 E324184:E324192 E324220:E324228 E324256:E324264 E324292:E324300 E324328:E324336 E324364:E324372 E324400:E324408 E324436:E324444 E324472:E324480 E324508:E324516 E324544:E324552 E324580:E324588 E324616:E324624 E324652:E324660 E324688:E324696 E324724:E324732 E324760:E324768 E324796:E324804 E324832:E324840 E324868:E324876 E324904:E324912 E324940:E324948 E324976:E324984 E325012:E325020 E325048:E325056 E325084:E325092 E325120:E325128 E325156:E325164 E325192:E325200 E325228:E325236 E325264:E325272 E325300:E325308 E325336:E325344 E325372:E325380 E325408:E325416 E325444:E325452 E325480:E325488 E325516:E325524 E325552:E325560 E325588:E325596 E325624:E325632 E325660:E325668 E325696:E325704 E325732:E325740 E325768:E325776 E325804:E325812 E325840:E325848 E325876:E325884 E325912:E325920 E325948:E325956 E325984:E325992 E326020:E326028 E326056:E326064 E326092:E326100 E326128:E326136 E326164:E326172 E326200:E326208 E326236:E326244 E326272:E326280 E326308:E326316 E326344:E326352 E326380:E326388 E326416:E326424 E326452:E326460 E326488:E326496 E326524:E326532 E326560:E326568 E326596:E326604 E326632:E326640 E326668:E326676 E326704:E326712 E326740:E326748 E326776:E326784 E326812:E326820 E326848:E326856 E326884:E326892 E326920:E326928 E326956:E326964 E326992:E327000 E327028:E327036 E327064:E327072 E327100:E327108 E327136:E327144 E327172:E327180 E327208:E327216 E327244:E327252 E327280:E327288 E327316:E327324 E327352:E327360 E327388:E327396 E327424:E327432 E327460:E327468 E327496:E327504 E327532:E327540 E327568:E327576 E327604:E327612 E327640:E327648 E327676:E327684 E327712:E327720 E327748:E327756 E327784:E327792 E327820:E327828 E327856:E327864 E327892:E327900 E327928:E327936 E327964:E327972 E328000:E328008 E328036:E328044 E328072:E328080 E328108:E328116 E328144:E328152 E328180:E328188 E328216:E328224 E328252:E328260 E328288:E328296 E328324:E328332 E328360:E328368 E328396:E328404 E328432:E328440 E328468:E328476 E328504:E328512 E328540:E328548 E328576:E328584 E328612:E328620 E328648:E328656 E328684:E328692 E328720:E328728 E328756:E328764 E328792:E328800 E328828:E328836 E328864:E328872 E328900:E328908 E328936:E328944 E328972:E328980 E329008:E329016 E329044:E329052 E329080:E329088 E329116:E329124 E329152:E329160 E329188:E329196 E329224:E329232 E329260:E329268 E329296:E329304 E329332:E329340 E329368:E329376 E329404:E329412 E329440:E329448 E329476:E329484 E329512:E329520 E329548:E329556 E329584:E329592 E329620:E329628 E329656:E329664 E329692:E329700 E329728:E329736 E329764:E329772 E329800:E329808 E329836:E329844 E329872:E329880 E329908:E329916 E329944:E329952 E329980:E329988 E330016:E330024 E330052:E330060 E330088:E330096 E330124:E330132 E330160:E330168 E330196:E330204 E330232:E330240 E330268:E330276 E330304:E330312 E330340:E330348 E330376:E330384 E330412:E330420 E330448:E330456 E330484:E330492 E330520:E330528 E330556:E330564 E330592:E330600 E330628:E330636 E330664:E330672 E330700:E330708 E330736:E330744 E330772:E330780 E330808:E330816 E330844:E330852 E330880:E330888 E330916:E330924 E330952:E330960 E330988:E330996 E331024:E331032 E331060:E331068 E331096:E331104 E331132:E331140 E331168:E331176 E331204:E331212 E331240:E331248 E331276:E331284 E331312:E331320 E331348:E331356 E331384:E331392 E331420:E331428 E331456:E331464 E331492:E331500 E331528:E331536 E331564:E331572 E331600:E331608 E331636:E331644 E331672:E331680 E331708:E331716 E331744:E331752 E331780:E331788 E331816:E331824 E331852:E331860 E331888:E331896 E331924:E331932 E331960:E331968 E331996:E332004 E332032:E332040 E332068:E332076 E332104:E332112 E332140:E332148 E332176:E332184 E332212:E332220 E332248:E332256 E332284:E332292 E332320:E332328 E332356:E332364 E332392:E332400 E332428:E332436 E332464:E332472 E332500:E332508 E332536:E332544 E332572:E332580 E332608:E332616 E332644:E332652 E332680:E332688 E332716:E332724 E332752:E332760 E332788:E332796 E332824:E332832 E332860:E332868 E332896:E332904 E332932:E332940 E332968:E332976 E333004:E333012 E333040:E333048 E333076:E333084 E333112:E333120 E333148:E333156 E333184:E333192 E333220:E333228 E333256:E333264 E333292:E333300 E333328:E333336 E333364:E333372 E333400:E333408 E333436:E333444 E333472:E333480 E333508:E333516 E333544:E333552 E333580:E333588 E333616:E333624 E333652:E333660 E333688:E333696 E333724:E333732 E333760:E333768 E333796:E333804 E333832:E333840 E333868:E333876 E333904:E333912 E333940:E333948 E333976:E333984 E334012:E334020 E334048:E334056 E334084:E334092 E334120:E334128 E334156:E334164 E334192:E334200 E334228:E334236 E334264:E334272 E334300:E334308 E334336:E334344 E334372:E334380 E334408:E334416 E334444:E334452 E334480:E334488 E334516:E334524 E334552:E334560 E334588:E334596 E334624:E334632 E334660:E334668 E334696:E334704 E334732:E334740 E334768:E334776 E334804:E334812 E334840:E334848 E334876:E334884 E334912:E334920 E334948:E334956 E334984:E334992 E335020:E335028 E335056:E335064 E335092:E335100 E335128:E335136 E335164:E335172 E335200:E335208 E335236:E335244 E335272:E335280 E335308:E335316 E335344:E335352 E335380:E335388 E335416:E335424 E335452:E335460 E335488:E335496 E335524:E335532 E335560:E335568 E335596:E335604 E335632:E335640 E335668:E335676 E335704:E335712 E335740:E335748 E335776:E335784 E335812:E335820 E335848:E335856 E335884:E335892 E335920:E335928 E335956:E335964 E335992:E336000 E336028:E336036 E336064:E336072 E336100:E336108 E336136:E336144 E336172:E336180 E336208:E336216 E336244:E336252 E336280:E336288 E336316:E336324 E336352:E336360 E336388:E336396 E336424:E336432 E336460:E336468 E336496:E336504 E336532:E336540 E336568:E336576 E336604:E336612 E336640:E336648 E336676:E336684 E336712:E336720 E336748:E336756 E336784:E336792 E336820:E336828 E336856:E336864 E336892:E336900 E336928:E336936 E336964:E336972 E337000:E337008 E337036:E337044 E337072:E337080 E337108:E337116 E337144:E337152 E337180:E337188 E337216:E337224 E337252:E337260 E337288:E337296 E337324:E337332 E337360:E337368 E337396:E337404 E337432:E337440 E337468:E337476 E337504:E337512 E337540:E337548 E337576:E337584 E337612:E337620 E337648:E337656 E337684:E337692 E337720:E337728 E337756:E337764 E337792:E337800 E337828:E337836 E337864:E337872 E337900:E337908 E337936:E337944 E337972:E337980 E338008:E338016 E338044:E338052 E338080:E338088 E338116:E338124 E338152:E338160 E338188:E338196 E338224:E338232 E338260:E338268 E338296:E338304 E338332:E338340 E338368:E338376 E338404:E338412 E338440:E338448 E338476:E338484 E338512:E338520 E338548:E338556 E338584:E338592 E338620:E338628 E338656:E338664 E338692:E338700 E338728:E338736 E338764:E338772 E338800:E338808 E338836:E338844 E338872:E338880 E338908:E338916 E338944:E338952 E338980:E338988 E339016:E339024 E339052:E339060 E339088:E339096 E339124:E339132 E339160:E339168 E339196:E339204 E339232:E339240 E339268:E339276 E339304:E339312 E339340:E339348 E339376:E339384 E339412:E339420 E339448:E339456 E339484:E339492 E339520:E339528 E339556:E339564 E339592:E339600 E339628:E339636 E339664:E339672 E339700:E339708 E339736:E339744 E339772:E339780 E339808:E339816 E339844:E339852 E339880:E339888 E339916:E339924 E339952:E339960 E339988:E339996 E340024:E340032 E340060:E340068 E340096:E340104 E340132:E340140 E340168:E340176 E340204:E340212 E340240:E340248 E340276:E340284 E340312:E340320 E340348:E340356 E340384:E340392 E340420:E340428 E340456:E340464 E340492:E340500 E340528:E340536 E340564:E340572 E340600:E340608 E340636:E340644 E340672:E340680 E340708:E340716 E340744:E340752 E340780:E340788 E340816:E340824 E340852:E340860 E340888:E340896 E340924:E340932 E340960:E340968 E340996:E341004 E341032:E341040 E341068:E341076 E341104:E341112 E341140:E341148 E341176:E341184 E341212:E341220 E341248:E341256 E341284:E341292 E341320:E341328 E341356:E341364 E341392:E341400 E341428:E341436 E341464:E341472 E341500:E341508 E341536:E341544 E341572:E341580 E341608:E341616 E341644:E341652 E341680:E341688 E341716:E341724 E341752:E341760 E341788:E341796 E341824:E341832 E341860:E341868 E341896:E341904 E341932:E341940 E341968:E341976 E342004:E342012 E342040:E342048 E342076:E342084 E342112:E342120 E342148:E342156 E342184:E342192 E342220:E342228 E342256:E342264 E342292:E342300 E342328:E342336 E342364:E342372 E342400:E342408 E342436:E342444 E342472:E342480 E342508:E342516 E342544:E342552 E342580:E342588 E342616:E342624 E342652:E342660 E342688:E342696 E342724:E342732 E342760:E342768 E342796:E342804 E342832:E342840 E342868:E342876 E342904:E342912 E342940:E342948 E342976:E342984 E343012:E343020 E343048:E343056 E343084:E343092 E343120:E343128 E343156:E343164 E343192:E343200 E343228:E343236 E343264:E343272 E343300:E343308 E343336:E343344 E343372:E343380 E343408:E343416 E343444:E343452 E343480:E343488 E343516:E343524 E343552:E343560 E343588:E343596 E343624:E343632 E343660:E343668 E343696:E343704 E343732:E343740 E343768:E343776 E343804:E343812 E343840:E343848 E343876:E343884 E343912:E343920 E343948:E343956 E343984:E343992 E344020:E344028 E344056:E344064 E344092:E344100 E344128:E344136 E344164:E344172 E344200:E344208 E344236:E344244 E344272:E344280 E344308:E344316 E344344:E344352 E344380:E344388 E344416:E344424 E344452:E344460 E344488:E344496 E344524:E344532 E344560:E344568 E344596:E344604 E344632:E344640 E344668:E344676 E344704:E344712 E344740:E344748 E344776:E344784 E344812:E344820 E344848:E344856 E344884:E344892 E344920:E344928 E344956:E344964 E344992:E345000 E345028:E345036 E345064:E345072 E345100:E345108 E345136:E345144 E345172:E345180 E345208:E345216 E345244:E345252 E345280:E345288 E345316:E345324 E345352:E345360 E345388:E345396 E345424:E345432 E345460:E345468 E345496:E345504 E345532:E345540 E345568:E345576 E345604:E345612 E345640:E345648 E345676:E345684 E345712:E345720 E345748:E345756 E345784:E345792 E345820:E345828 E345856:E345864 E345892:E345900 E345928:E345936 E345964:E345972 E346000:E346008 E346036:E346044 E346072:E346080 E346108:E346116 E346144:E346152 E346180:E346188 E346216:E346224 E346252:E346260 E346288:E346296 E346324:E346332 E346360:E346368 E346396:E346404 E346432:E346440 E346468:E346476 E346504:E346512 E346540:E346548 E346576:E346584 E346612:E346620 E346648:E346656 E346684:E346692 E346720:E346728 E346756:E346764 E346792:E346800 E346828:E346836 E346864:E346872 E346900:E346908 E346936:E346944 E346972:E346980 E347008:E347016 E347044:E347052 E347080:E347088 E347116:E347124 E347152:E347160 E347188:E347196 E347224:E347232 E347260:E347268 E347296:E347304 E347332:E347340 E347368:E347376 E347404:E347412 E347440:E347448 E347476:E347484 E347512:E347520 E347548:E347556 E347584:E347592 E347620:E347628 E347656:E347664 E347692:E347700 E347728:E347736 E347764:E347772 E347800:E347808 E347836:E347844 E347872:E347880 E347908:E347916 E347944:E347952 E347980:E347988 E348016:E348024 E348052:E348060 E348088:E348096 E348124:E348132 E348160:E348168 E348196:E348204 E348232:E348240 E348268:E348276 E348304:E348312 E348340:E348348 E348376:E348384 E348412:E348420 E348448:E348456 E348484:E348492 E348520:E348528 E348556:E348564 E348592:E348600 E348628:E348636 E348664:E348672 E348700:E348708 E348736:E348744 E348772:E348780 E348808:E348816 E348844:E348852 E348880:E348888 E348916:E348924 E348952:E348960 E348988:E348996 E349024:E349032 E349060:E349068 E349096:E349104 E349132:E349140 E349168:E349176 E349204:E349212 E349240:E349248 E349276:E349284 E349312:E349320 E349348:E349356 E349384:E349392 E349420:E349428 E349456:E349464 E349492:E349500 E349528:E349536 E349564:E349572 E349600:E349608 E349636:E349644 E349672:E349680 E349708:E349716 E349744:E349752 E349780:E349788 E349816:E349824 E349852:E349860 E349888:E349896 E349924:E349932 E349960:E349968 E349996:E350004 E350032:E350040 E350068:E350076 E350104:E350112 E350140:E350148 E350176:E350184 E350212:E350220 E350248:E350256 E350284:E350292 E350320:E350328 E350356:E350364 E350392:E350400 E350428:E350436 E350464:E350472 E350500:E350508 E350536:E350544 E350572:E350580 E350608:E350616 E350644:E350652 E350680:E350688 E350716:E350724 E350752:E350760 E350788:E350796 E350824:E350832 E350860:E350868 E350896:E350904 E350932:E350940 E350968:E350976 E351004:E351012 E351040:E351048 E351076:E351084 E351112:E351120 E351148:E351156 E351184:E351192 E351220:E351228 E351256:E351264 E351292:E351300 E351328:E351336 E351364:E351372 E351400:E351408 E351436:E351444 E351472:E351480 E351508:E351516 E351544:E351552 E351580:E351588 E351616:E351624 E351652:E351660 E351688:E351696 E351724:E351732 E351760:E351768 E351796:E351804 E351832:E351840 E351868:E351876 E351904:E351912 E351940:E351948 E351976:E351984 E352012:E352020 E352048:E352056 E352084:E352092 E352120:E352128 E352156:E352164 E352192:E352200 E352228:E352236 E352264:E352272 E352300:E352308 E352336:E352344 E352372:E352380 E352408:E352416 E352444:E352452 E352480:E352488 E352516:E352524 E352552:E352560 E352588:E352596 E352624:E352632 E352660:E352668 E352696:E352704 E352732:E352740 E352768:E352776 E352804:E352812 E352840:E352848 E352876:E352884 E352912:E352920 E352948:E352956 E352984:E352992 E353020:E353028 E353056:E353064 E353092:E353100 E353128:E353136 E353164:E353172 E353200:E353208 E353236:E353244 E353272:E353280 E353308:E353316 E353344:E353352 E353380:E353388 E353416:E353424 E353452:E353460 E353488:E353496 E353524:E353532 E353560:E353568 E353596:E353604 E353632:E353640 E353668:E353676 E353704:E353712 E353740:E353748 E353776:E353784 E353812:E353820 E353848:E353856 E353884:E353892 E353920:E353928 E353956:E353964 E353992:E354000 E354028:E354036 E354064:E354072 E354100:E354108 E354136:E354144 E354172:E354180 E354208:E354216 E354244:E354252 E354280:E354288 E354316:E354324 E354352:E354360 E354388:E354396 E354424:E354432 E354460:E354468 E354496:E354504 E354532:E354540 E354568:E354576 E354604:E354612 E354640:E354648 E354676:E354684 E354712:E354720 E354748:E354756 E354784:E354792 E354820:E354828 E354856:E354864 E354892:E354900 E354928:E354936 E354964:E354972 E355000:E355008 E355036:E355044 E355072:E355080 E355108:E355116 E355144:E355152 E355180:E355188 E355216:E355224 E355252:E355260 E355288:E355296 E355324:E355332 E355360:E355368 E355396:E355404 E355432:E355440 E355468:E355476 E355504:E355512 E355540:E355548 E355576:E355584 E355612:E355620 E355648:E355656 E355684:E355692 E355720:E355728 E355756:E355764 E355792:E355800 E355828:E355836 E355864:E355872 E355900:E355908 E355936:E355944 E355972:E355980 E356008:E356016 E356044:E356052 E356080:E356088 E356116:E356124 E356152:E356160 E356188:E356196 E356224:E356232 E356260:E356268 E356296:E356304 E356332:E356340 E356368:E356376 E356404:E356412 E356440:E356448 E356476:E356484 E356512:E356520 E356548:E356556 E356584:E356592 E356620:E356628 E356656:E356664 E356692:E356700 E356728:E356736 E356764:E356772 E356800:E356808 E356836:E356844 E356872:E356880 E356908:E356916 E356944:E356952 E356980:E356988 E357016:E357024 E357052:E357060 E357088:E357096 E357124:E357132 E357160:E357168 E357196:E357204 E357232:E357240 E357268:E357276 E357304:E357312 E357340:E357348 E357376:E357384 E357412:E357420 E357448:E357456 E357484:E357492 E357520:E357528 E357556:E357564 E357592:E357600 E357628:E357636 E357664:E357672 E357700:E357708 E357736:E357744 E357772:E357780 E357808:E357816 E357844:E357852 E357880:E357888 E357916:E357924 E357952:E357960 E357988:E357996 E358024:E358032 E358060:E358068 E358096:E358104 E358132:E358140 E358168:E358176 E358204:E358212 E358240:E358248 E358276:E358284 E358312:E358320 E358348:E358356 E358384:E358392 E358420:E358428 E358456:E358464 E358492:E358500 E358528:E358536 E358564:E358572 E358600:E358608 E358636:E358644 E358672:E358680 E358708:E358716 E358744:E358752 E358780:E358788 E358816:E358824 E358852:E358860 E358888:E358896 E358924:E358932 E358960:E358968 E358996:E359004 E359032:E359040 E359068:E359076 E359104:E359112 E359140:E359148 E359176:E359184 E359212:E359220 E359248:E359256 E359284:E359292 E359320:E359328 E359356:E359364 E359392:E359400 E359428:E359436 E359464:E359472 E359500:E359508 E359536:E359544 E359572:E359580 E359608:E359616 E359644:E359652 E359680:E359688 E359716:E359724 E359752:E359760 E359788:E359796 E359824:E359832 E359860:E359868 E359896:E359904 E359932:E359940 E359968:E359976 E360004:E360012 E360040:E360048 E360076:E360084 E360112:E360120 E360148:E360156 E360184:E360192 E360220:E360228 E360256:E360264 E360292:E360300 E360328:E360336 E360364:E360372 E360400:E360408 E360436:E360444 E360472:E360480 E360508:E360516 E360544:E360552 E360580:E360588 E360616:E360624 E360652:E360660 E360688:E360696 E360724:E360732 E360760:E360768 E360796:E360804 E360832:E360840 E360868:E360876 E360904:E360912 E360940:E360948 E360976:E360984 E361012:E361020 E361048:E361056 E361084:E361092 E361120:E361128 E361156:E361164 E361192:E361200 E361228:E361236 E361264:E361272 E361300:E361308 E361336:E361344 E361372:E361380 E361408:E361416 E361444:E361452 E361480:E361488 E361516:E361524 E361552:E361560 E361588:E361596 E361624:E361632 E361660:E361668 E361696:E361704 E361732:E361740 E361768:E361776 E361804:E361812 E361840:E361848 E361876:E361884 E361912:E361920 E361948:E361956 E361984:E361992 E362020:E362028 E362056:E362064 E362092:E362100 E362128:E362136 E362164:E362172 E362200:E362208 E362236:E362244 E362272:E362280 E362308:E362316 E362344:E362352 E362380:E362388 E362416:E362424 E362452:E362460 E362488:E362496 E362524:E362532 E362560:E362568 E362596:E362604 E362632:E362640 E362668:E362676 E362704:E362712 E362740:E362748 E362776:E362784 E362812:E362820 E362848:E362856 E362884:E362892 E362920:E362928 E362956:E362964 E362992:E363000 E363028:E363036 E363064:E363072 E363100:E363108 E363136:E363144 E363172:E363180 E363208:E363216 E363244:E363252 E363280:E363288 E363316:E363324 E363352:E363360 E363388:E363396 E363424:E363432 E363460:E363468 E363496:E363504 E363532:E363540 E363568:E363576 E363604:E363612 E363640:E363648 E363676:E363684 E363712:E363720 E363748:E363756 E363784:E363792 E363820:E363828 E363856:E363864 E363892:E363900 E363928:E363936 E363964:E363972 E364000:E364008 E364036:E364044 E364072:E364080 E364108:E364116 E364144:E364152 E364180:E364188 E364216:E364224 E364252:E364260 E364288:E364296 E364324:E364332 E364360:E364368 E364396:E364404 E364432:E364440 E364468:E364476 E364504:E364512 E364540:E364548 E364576:E364584 E364612:E364620 E364648:E364656 E364684:E364692 E364720:E364728 E364756:E364764 E364792:E364800 E364828:E364836 E364864:E364872 E364900:E364908 E364936:E364944 E364972:E364980 E365008:E365016 E365044:E365052 E365080:E365088 E365116:E365124 E365152:E365160 E365188:E365196 E365224:E365232 E365260:E365268 E365296:E365304 E365332:E365340 E365368:E365376 E365404:E365412 E365440:E365448 E365476:E365484 E365512:E365520 E365548:E365556 E365584:E365592 E365620:E365628 E365656:E365664 E365692:E365700 E365728:E365736 E365764:E365772 E365800:E365808 E365836:E365844 E365872:E365880 E365908:E365916 E365944:E365952 E365980:E365988 E366016:E366024 E366052:E366060 E366088:E366096 E366124:E366132 E366160:E366168 E366196:E366204 E366232:E366240 E366268:E366276 E366304:E366312 E366340:E366348 E366376:E366384 E366412:E366420 E366448:E366456 E366484:E366492 E366520:E366528 E366556:E366564 E366592:E366600 E366628:E366636 E366664:E366672 E366700:E366708 E366736:E366744 E366772:E366780 E366808:E366816 E366844:E366852 E366880:E366888 E366916:E366924 E366952:E366960 E366988:E366996 E367024:E367032 E367060:E367068 E367096:E367104 E367132:E367140 E367168:E367176 E367204:E367212 E367240:E367248 E367276:E367284 E367312:E367320 E367348:E367356 E367384:E367392 E367420:E367428 E367456:E367464 E367492:E367500 E367528:E367536 E367564:E367572 E367600:E367608 E367636:E367644 E367672:E367680 E367708:E367716 E367744:E367752 E367780:E367788 E367816:E367824 E367852:E367860 E367888:E367896 E367924:E367932 E367960:E367968 E367996:E368004 E368032:E368040 E368068:E368076 E368104:E368112 E368140:E368148 E368176:E368184 E368212:E368220 E368248:E368256 E368284:E368292 E368320:E368328 E368356:E368364 E368392:E368400 E368428:E368436 E368464:E368472 E368500:E368508 E368536:E368544 E368572:E368580 E368608:E368616 E368644:E368652 E368680:E368688 E368716:E368724 E368752:E368760 E368788:E368796 E368824:E368832 E368860:E368868 E368896:E368904 E368932:E368940 E368968:E368976 E369004:E369012 E369040:E369048 E369076:E369084 E369112:E369120 E369148:E369156 E369184:E369192 E369220:E369228 E369256:E369264 E369292:E369300 E369328:E369336 E369364:E369372 E369400:E369408 E369436:E369444 E369472:E369480 E369508:E369516 E369544:E369552 E369580:E369588 E369616:E369624 E369652:E369660 E369688:E369696 E369724:E369732 E369760:E369768 E369796:E369804 E369832:E369840 E369868:E369876 E369904:E369912 E369940:E369948 E369976:E369984 E370012:E370020 E370048:E370056 E370084:E370092 E370120:E370128 E370156:E370164 E370192:E370200 E370228:E370236 E370264:E370272 E370300:E370308 E370336:E370344 E370372:E370380 E370408:E370416 E370444:E370452 E370480:E370488 E370516:E370524 E370552:E370560 E370588:E370596 E370624:E370632 E370660:E370668 E370696:E370704 E370732:E370740 E370768:E370776 E370804:E370812 E370840:E370848 E370876:E370884 E370912:E370920 E370948:E370956 E370984:E370992 E371020:E371028 E371056:E371064 E371092:E371100 E371128:E371136 E371164:E371172 E371200:E371208 E371236:E371244 E371272:E371280 E371308:E371316 E371344:E371352 E371380:E371388 E371416:E371424 E371452:E371460 E371488:E371496 E371524:E371532 E371560:E371568 E371596:E371604 E371632:E371640 E371668:E371676 E371704:E371712 E371740:E371748 E371776:E371784 E371812:E371820 E371848:E371856 E371884:E371892 E371920:E371928 E371956:E371964 E371992:E372000 E372028:E372036 E372064:E372072 E372100:E372108 E372136:E372144 E372172:E372180 E372208:E372216 E372244:E372252 E372280:E372288 E372316:E372324 E372352:E372360 E372388:E372396 E372424:E372432 E372460:E372468 E372496:E372504 E372532:E372540 E372568:E372576 E372604:E372612 E372640:E372648 E372676:E372684 E372712:E372720 E372748:E372756 E372784:E372792 E372820:E372828 E372856:E372864 E372892:E372900 E372928:E372936 E372964:E372972 E373000:E373008 E373036:E373044 E373072:E373080 E373108:E373116 E373144:E373152 E373180:E373188 E373216:E373224 E373252:E373260 E373288:E373296 E373324:E373332 E373360:E373368 E373396:E373404 E373432:E373440 E373468:E373476 E373504:E373512 E373540:E373548 E373576:E373584 E373612:E373620 E373648:E373656 E373684:E373692 E373720:E373728 E373756:E373764 E373792:E373800 E373828:E373836 E373864:E373872 E373900:E373908 E373936:E373944 E373972:E373980 E374008:E374016 E374044:E374052 E374080:E374088 E374116:E374124 E374152:E374160 E374188:E374196 E374224:E374232 E374260:E374268 E374296:E374304 E374332:E374340 E374368:E374376 E374404:E374412 E374440:E374448 E374476:E374484 E374512:E374520 E374548:E374556 E374584:E374592 E374620:E374628 E374656:E374664 E374692:E374700 E374728:E374736 E374764:E374772 E374800:E374808 E374836:E374844 E374872:E374880 E374908:E374916 E374944:E374952 E374980:E374988 E375016:E375024 E375052:E375060 E375088:E375096 E375124:E375132 E375160:E375168 E375196:E375204 E375232:E375240 E375268:E375276 E375304:E375312 E375340:E375348 E375376:E375384 E375412:E375420 E375448:E375456 E375484:E375492 E375520:E375528 E375556:E375564 E375592:E375600 E375628:E375636 E375664:E375672 E375700:E375708 E375736:E375744 E375772:E375780 E375808:E375816 E375844:E375852 E375880:E375888 E375916:E375924 E375952:E375960 E375988:E375996 E376024:E376032 E376060:E376068 E376096:E376104 E376132:E376140 E376168:E376176 E376204:E376212 E376240:E376248 E376276:E376284 E376312:E376320 E376348:E376356 E376384:E376392 E376420:E376428 E376456:E376464 E376492:E376500 E376528:E376536 E376564:E376572 E376600:E376608 E376636:E376644 E376672:E376680 E376708:E376716 E376744:E376752 E376780:E376788 E376816:E376824 E376852:E376860 E376888:E376896 E376924:E376932 E376960:E376968 E376996:E377004 E377032:E377040 E377068:E377076 E377104:E377112 E377140:E377148 E377176:E377184 E377212:E377220 E377248:E377256 E377284:E377292 E377320:E377328 E377356:E377364 E377392:E377400 E377428:E377436 E377464:E377472 E377500:E377508 E377536:E377544 E377572:E377580 E377608:E377616 E377644:E377652 E377680:E377688 E377716:E377724 E377752:E377760 E377788:E377796 E377824:E377832 E377860:E377868 E377896:E377904 E377932:E377940 E377968:E377976 E378004:E378012 E378040:E378048 E378076:E378084 E378112:E378120 E378148:E378156 E378184:E378192 E378220:E378228 E378256:E378264 E378292:E378300 E378328:E378336 E378364:E378372 E378400:E378408 E378436:E378444 E378472:E378480 E378508:E378516 E378544:E378552 E378580:E378588 E378616:E378624 E378652:E378660 E378688:E378696 E378724:E378732 E378760:E378768 E378796:E378804 E378832:E378840 E378868:E378876 E378904:E378912 E378940:E378948 E378976:E378984 E379012:E379020 E379048:E379056 E379084:E379092 E379120:E379128 E379156:E379164 E379192:E379200 E379228:E379236 E379264:E379272 E379300:E379308 E379336:E379344 E379372:E379380 E379408:E379416 E379444:E379452 E379480:E379488 E379516:E379524 E379552:E379560 E379588:E379596 E379624:E379632 E379660:E379668 E379696:E379704 E379732:E379740 E379768:E379776 E379804:E379812 E379840:E379848 E379876:E379884 E379912:E379920 E379948:E379956 E379984:E379992 E380020:E380028 E380056:E380064 E380092:E380100 E380128:E380136 E380164:E380172 E380200:E380208 E380236:E380244 E380272:E380280 E380308:E380316 E380344:E380352 E380380:E380388 E380416:E380424 E380452:E380460 E380488:E380496 E380524:E380532 E380560:E380568 E380596:E380604 E380632:E380640 E380668:E380676 E380704:E380712 E380740:E380748 E380776:E380784 E380812:E380820 E380848:E380856 E380884:E380892 E380920:E380928 E380956:E380964 E380992:E381000 E381028:E381036 E381064:E381072 E381100:E381108 E381136:E381144 E381172:E381180 E381208:E381216 E381244:E381252 E381280:E381288 E381316:E381324 E381352:E381360 E381388:E381396 E381424:E381432 E381460:E381468 E381496:E381504 E381532:E381540 E381568:E381576 E381604:E381612 E381640:E381648 E381676:E381684 E381712:E381720 E381748:E381756 E381784:E381792 E381820:E381828 E381856:E381864 E381892:E381900 E381928:E381936 E381964:E381972 E382000:E382008 E382036:E382044 E382072:E382080 E382108:E382116 E382144:E382152 E382180:E382188 E382216:E382224 E382252:E382260 E382288:E382296 E382324:E382332 E382360:E382368 E382396:E382404 E382432:E382440 E382468:E382476 E382504:E382512 E382540:E382548 E382576:E382584 E382612:E382620 E382648:E382656 E382684:E382692 E382720:E382728 E382756:E382764 E382792:E382800 E382828:E382836 E382864:E382872 E382900:E382908 E382936:E382944 E382972:E382980 E383008:E383016 E383044:E383052 E383080:E383088 E383116:E383124 E383152:E383160 E383188:E383196 E383224:E383232 E383260:E383268 E383296:E383304 E383332:E383340 E383368:E383376 E383404:E383412 E383440:E383448 E383476:E383484 E383512:E383520 E383548:E383556 E383584:E383592 E383620:E383628 E383656:E383664 E383692:E383700 E383728:E383736 E383764:E383772 E383800:E383808 E383836:E383844 E383872:E383880 E383908:E383916 E383944:E383952 E383980:E383988 E384016:E384024 E384052:E384060 E384088:E384096 E384124:E384132 E384160:E384168 E384196:E384204 E384232:E384240 E384268:E384276 E384304:E384312 E384340:E384348 E384376:E384384 E384412:E384420 E384448:E384456 E384484:E384492 E384520:E384528 E384556:E384564 E384592:E384600 E384628:E384636 E384664:E384672 E384700:E384708 E384736:E384744 E384772:E384780 E384808:E384816 E384844:E384852 E384880:E384888 E384916:E384924 E384952:E384960 E384988:E384996 E385024:E385032 E385060:E385068 E385096:E385104 E385132:E385140 E385168:E385176 E385204:E385212 E385240:E385248 E385276:E385284 E385312:E385320 E385348:E385356 E385384:E385392 E385420:E385428 E385456:E385464 E385492:E385500 E385528:E385536 E385564:E385572 E385600:E385608 E385636:E385644 E385672:E385680 E385708:E385716 E385744:E385752 E385780:E385788 E385816:E385824 E385852:E385860 E385888:E385896 E385924:E385932 E385960:E385968 E385996:E386004 E386032:E386040 E386068:E386076 E386104:E386112 E386140:E386148 E386176:E386184 E386212:E386220 E386248:E386256 E386284:E386292 E386320:E386328 E386356:E386364 E386392:E386400 E386428:E386436 E386464:E386472 E386500:E386508 E386536:E386544 E386572:E386580 E386608:E386616 E386644:E386652 E386680:E386688 E386716:E386724 E386752:E386760 E386788:E386796 E386824:E386832 E386860:E386868 E386896:E386904 E386932:E386940 E386968:E386976 E387004:E387012 E387040:E387048 E387076:E387084 E387112:E387120 E387148:E387156 E387184:E387192 E387220:E387228 E387256:E387264 E387292:E387300 E387328:E387336 E387364:E387372 E387400:E387408 E387436:E387444 E387472:E387480 E387508:E387516 E387544:E387552 E387580:E387588 E387616:E387624 E387652:E387660 E387688:E387696 E387724:E387732 E387760:E387768 E387796:E387804 E387832:E387840 E387868:E387876 E387904:E387912 E387940:E387948 E387976:E387984 E388012:E388020 E388048:E388056 E388084:E388092 E388120:E388128 E388156:E388164 E388192:E388200 E388228:E388236 E388264:E388272 E388300:E388308 E388336:E388344 E388372:E388380 E388408:E388416 E388444:E388452 E388480:E388488 E388516:E388524 E388552:E388560 E388588:E388596 E388624:E388632 E388660:E388668 E388696:E388704 E388732:E388740 E388768:E388776 E388804:E388812 E388840:E388848 E388876:E388884 E388912:E388920 E388948:E388956 E388984:E388992 E389020:E389028 E389056:E389064 E389092:E389100 E389128:E389136 E389164:E389172 E389200:E389208 E389236:E389244 E389272:E389280 E389308:E389316 E389344:E389352 E389380:E389388 E389416:E389424 E389452:E389460 E389488:E389496 E389524:E389532 E389560:E389568 E389596:E389604 E389632:E389640 E389668:E389676 E389704:E389712 E389740:E389748 E389776:E389784 E389812:E389820 E389848:E389856 E389884:E389892 E389920:E389928 E389956:E389964 E389992:E390000 E390028:E390036 E390064:E390072 E390100:E390108 E390136:E390144 E390172:E390180 E390208:E390216 E390244:E390252 E390280:E390288 E390316:E390324 E390352:E390360 E390388:E390396 E390424:E390432 E390460:E390468 E390496:E390504 E390532:E390540 E390568:E390576 E390604:E390612 E390640:E390648 E390676:E390684 E390712:E390720 E390748:E390756 E390784:E390792 E390820:E390828 E390856:E390864 E390892:E390900 E390928:E390936 E390964:E390972 E391000:E391008 E391036:E391044 E391072:E391080 E391108:E391116 E391144:E391152 E391180:E391188 E391216:E391224 E391252:E391260 E391288:E391296 E391324:E391332 E391360:E391368 E391396:E391404 E391432:E391440 E391468:E391476 E391504:E391512 E391540:E391548 E391576:E391584 E391612:E391620 E391648:E391656 E391684:E391692 E391720:E391728 E391756:E391764 E391792:E391800 E391828:E391836 E391864:E391872 E391900:E391908 E391936:E391944 E391972:E391980 E392008:E392016 E392044:E392052 E392080:E392088 E392116:E392124 E392152:E392160 E392188:E392196 E392224:E392232 E392260:E392268 E392296:E392304 E392332:E392340 E392368:E392376 E392404:E392412 E392440:E392448 E392476:E392484 E392512:E392520 E392548:E392556 E392584:E392592 E392620:E392628 E392656:E392664 E392692:E392700 E392728:E392736 E392764:E392772 E392800:E392808 E392836:E392844 E392872:E392880 E392908:E392916 E392944:E392952 E392980:E392988 E393016:E393024 E393052:E393060 E393088:E393096 E393124:E393132 E393160:E393168 E393196:E393204 E393232:E393240 E393268:E393276 E393304:E393312 E393340:E393348 E393376:E393384 E393412:E393420 E393448:E393456 E393484:E393492 E393520:E393528 E393556:E393564 E393592:E393600 E393628:E393636 E393664:E393672 E393700:E393708 E393736:E393744 E393772:E393780 E393808:E393816 E393844:E393852 E393880:E393888 E393916:E393924 E393952:E393960 E393988:E393996 E394024:E394032 E394060:E394068 E394096:E394104 E394132:E394140 E394168:E394176 E394204:E394212 E394240:E394248 E394276:E394284 E394312:E394320 E394348:E394356 E394384:E394392 E394420:E394428 E394456:E394464 E394492:E394500 E394528:E394536 E394564:E394572 E394600:E394608 E394636:E394644 E394672:E394680 E394708:E394716 E394744:E394752 E394780:E394788 E394816:E394824 E394852:E394860 E394888:E394896 E394924:E394932 E394960:E394968 E394996:E395004 E395032:E395040 E395068:E395076 E395104:E395112 E395140:E395148 E395176:E395184 E395212:E395220 E395248:E395256 E395284:E395292 E395320:E395328 E395356:E395364 E395392:E395400 E395428:E395436 E395464:E395472 E395500:E395508 E395536:E395544 E395572:E395580 E395608:E395616 E395644:E395652 E395680:E395688 E395716:E395724 E395752:E395760 E395788:E395796 E395824:E395832 E395860:E395868 E395896:E395904 E395932:E395940 E395968:E395976 E396004:E396012 E396040:E396048 E396076:E396084 E396112:E396120 E396148:E396156 E396184:E396192 E396220:E396228 E396256:E396264 E396292:E396300 E396328:E396336 E396364:E396372 E396400:E396408 E396436:E396444 E396472:E396480 E396508:E396516 E396544:E396552 E396580:E396588 E396616:E396624 E396652:E396660 E396688:E396696 E396724:E396732 E396760:E396768 E396796:E396804 E396832:E396840 E396868:E396876 E396904:E396912 E396940:E396948 E396976:E396984 E397012:E397020 E397048:E397056 E397084:E397092 E397120:E397128 E397156:E397164 E397192:E397200 E397228:E397236 E397264:E397272 E397300:E397308 E397336:E397344 E397372:E397380 E397408:E397416 E397444:E397452 E397480:E397488 E397516:E397524 E397552:E397560 E397588:E397596 E397624:E397632 E397660:E397668 E397696:E397704 E397732:E397740 E397768:E397776 E397804:E397812 E397840:E397848 E397876:E397884 E397912:E397920 E397948:E397956 E397984:E397992 E398020:E398028 E398056:E398064 E398092:E398100 E398128:E398136 E398164:E398172 E398200:E398208 E398236:E398244 E398272:E398280 E398308:E398316 E398344:E398352 E398380:E398388 E398416:E398424 E398452:E398460 E398488:E398496 E398524:E398532 E398560:E398568 E398596:E398604 E398632:E398640 E398668:E398676 E398704:E398712 E398740:E398748 E398776:E398784 E398812:E398820 E398848:E398856 E398884:E398892 E398920:E398928 E398956:E398964 E398992:E399000 E399028:E399036 E399064:E399072 E399100:E399108 E399136:E399144 E399172:E399180 E399208:E399216 E399244:E399252 E399280:E399288 E399316:E399324 E399352:E399360 E399388:E399396 E399424:E399432 E399460:E399468 E399496:E399504 E399532:E399540 E399568:E399576 E399604:E399612 E399640:E399648 E399676:E399684 E399712:E399720 E399748:E399756 E399784:E399792 E399820:E399828 E399856:E399864 E399892:E399900 E399928:E399936 E399964:E399972 E400000:E400008 E400036:E400044 E400072:E400080 E400108:E400116 E400144:E400152 E400180:E400188 E400216:E400224 E400252:E400260 E400288:E400296 E400324:E400332 E400360:E400368 E400396:E400404 E400432:E400440 E400468:E400476 E400504:E400512 E400540:E400548 E400576:E400584 E400612:E400620 E400648:E400656 E400684:E400692 E400720:E400728 E400756:E400764 E400792:E400800 E400828:E400836 E400864:E400872 E400900:E400908 E400936:E400944 E400972:E400980 E401008:E401016 E401044:E401052 E401080:E401088 E401116:E401124 E401152:E401160 E401188:E401196 E401224:E401232 E401260:E401268 E401296:E401304 E401332:E401340 E401368:E401376 E401404:E401412 E401440:E401448 E401476:E401484 E401512:E401520 E401548:E401556 E401584:E401592 E401620:E401628 E401656:E401664 E401692:E401700 E401728:E401736 E401764:E401772 E401800:E401808 E401836:E401844 E401872:E401880 E401908:E401916 E401944:E401952 E401980:E401988 E402016:E402024 E402052:E402060 E402088:E402096 E402124:E402132 E402160:E402168 E402196:E402204 E402232:E402240 E402268:E402276 E402304:E402312 E402340:E402348 E402376:E402384 E402412:E402420 E402448:E402456 E402484:E402492 E402520:E402528 E402556:E402564 E402592:E402600 E402628:E402636 E402664:E402672 E402700:E402708 E402736:E402744 E402772:E402780 E402808:E402816 E402844:E402852 E402880:E402888 E402916:E402924 E402952:E402960 E402988:E402996 E403024:E403032 E403060:E403068 E403096:E403104 E403132:E403140 E403168:E403176 E403204:E403212 E403240:E403248 E403276:E403284 E403312:E403320 E403348:E403356 E403384:E403392 E403420:E403428 E403456:E403464 E403492:E403500 E403528:E403536 E403564:E403572 E403600:E403608 E403636:E403644 E403672:E403680 E403708:E403716 E403744:E403752 E403780:E403788 E403816:E403824 E403852:E403860 E403888:E403896 E403924:E403932 E403960:E403968 E403996:E404004 E404032:E404040 E404068:E404076 E404104:E404112 E404140:E404148 E404176:E404184 E404212:E404220 E404248:E404256 E404284:E404292 E404320:E404328 E404356:E404364 E404392:E404400 E404428:E404436 E404464:E404472 E404500:E404508 E404536:E404544 E404572:E404580 E404608:E404616 E404644:E404652 E404680:E404688 E404716:E404724 E404752:E404760 E404788:E404796 E404824:E404832 E404860:E404868 E404896:E404904 E404932:E404940 E404968:E404976 E405004:E405012 E405040:E405048 E405076:E405084 E405112:E405120 E405148:E405156 E405184:E405192 E405220:E405228 E405256:E405264 E405292:E405300 E405328:E405336 E405364:E405372 E405400:E405408 E405436:E405444 E405472:E405480 E405508:E405516 E405544:E405552 E405580:E405588 E405616:E405624 E405652:E405660 E405688:E405696 E405724:E405732 E405760:E405768 E405796:E405804 E405832:E405840 E405868:E405876 E405904:E405912 E405940:E405948 E405976:E405984 E406012:E406020 E406048:E406056 E406084:E406092 E406120:E406128 E406156:E406164 E406192:E406200 E406228:E406236 E406264:E406272 E406300:E406308 E406336:E406344 E406372:E406380 E406408:E406416 E406444:E406452 E406480:E406488 E406516:E406524 E406552:E406560 E406588:E406596 E406624:E406632 E406660:E406668 E406696:E406704 E406732:E406740 E406768:E406776 E406804:E406812 E406840:E406848 E406876:E406884 E406912:E406920 E406948:E406956 E406984:E406992 E407020:E407028 E407056:E407064 E407092:E407100 E407128:E407136 E407164:E407172 E407200:E407208 E407236:E407244 E407272:E407280 E407308:E407316 E407344:E407352 E407380:E407388 E407416:E407424 E407452:E407460 E407488:E407496 E407524:E407532 E407560:E407568 E407596:E407604 E407632:E407640 E407668:E407676 E407704:E407712 E407740:E407748 E407776:E407784 E407812:E407820 E407848:E407856 E407884:E407892 E407920:E407928 E407956:E407964 E407992:E408000 E408028:E408036 E408064:E408072 E408100:E408108 E408136:E408144 E408172:E408180 E408208:E408216 E408244:E408252 E408280:E408288 E408316:E408324 E408352:E408360 E408388:E408396 E408424:E408432 E408460:E408468 E408496:E408504 E408532:E408540 E408568:E408576 E408604:E408612 E408640:E408648 E408676:E408684 E408712:E408720 E408748:E408756 E408784:E408792 E408820:E408828 E408856:E408864 E408892:E408900 E408928:E408936 E408964:E408972 E409000:E409008 E409036:E409044 E409072:E409080 E409108:E409116 E409144:E409152 E409180:E409188 E409216:E409224 E409252:E409260 E409288:E409296 E409324:E409332 E409360:E409368 E409396:E409404 E409432:E409440 E409468:E409476 E409504:E409512 E409540:E409548 E409576:E409584 E409612:E409620 E409648:E409656 E409684:E409692 E409720:E409728 E409756:E409764 E409792:E409800 E409828:E409836 E409864:E409872 E409900:E409908 E409936:E409944 E409972:E409980 E410008:E410016 E410044:E410052 E410080:E410088 E410116:E410124 E410152:E410160 E410188:E410196 E410224:E410232 E410260:E410268 E410296:E410304 E410332:E410340 E410368:E410376 E410404:E410412 E410440:E410448 E410476:E410484 E410512:E410520 E410548:E410556 E410584:E410592 E410620:E410628 E410656:E410664 E410692:E410700 E410728:E410736 E410764:E410772 E410800:E410808 E410836:E410844 E410872:E410880 E410908:E410916 E410944:E410952 E410980:E410988 E411016:E411024 E411052:E411060 E411088:E411096 E411124:E411132 E411160:E411168 E411196:E411204 E411232:E411240 E411268:E411276 E411304:E411312 E411340:E411348 E411376:E411384 E411412:E411420 E411448:E411456 E411484:E411492 E411520:E411528 E411556:E411564 E411592:E411600 E411628:E411636 E411664:E411672 E411700:E411708 E411736:E411744 E411772:E411780 E411808:E411816 E411844:E411852 E411880:E411888 E411916:E411924 E411952:E411960 E411988:E411996 E412024:E412032 E412060:E412068 E412096:E412104 E412132:E412140 E412168:E412176 E412204:E412212 E412240:E412248 E412276:E412284 E412312:E412320 E412348:E412356 E412384:E412392 E412420:E412428 E412456:E412464 E412492:E412500 E412528:E412536 E412564:E412572 E412600:E412608 E412636:E412644 E412672:E412680 E412708:E412716 E412744:E412752 E412780:E412788 E412816:E412824 E412852:E412860 E412888:E412896 E412924:E412932 E412960:E412968 E412996:E413004 E413032:E413040 E413068:E413076 E413104:E413112 E413140:E413148 E413176:E413184 E413212:E413220 E413248:E413256 E413284:E413292 E413320:E413328 E413356:E413364 E413392:E413400 E413428:E413436 E413464:E413472 E413500:E413508 E413536:E413544 E413572:E413580 E413608:E413616 E413644:E413652 E413680:E413688 E413716:E413724 E413752:E413760 E413788:E413796 E413824:E413832 E413860:E413868 E413896:E413904 E413932:E413940 E413968:E413976 E414004:E414012 E414040:E414048 E414076:E414084 E414112:E414120 E414148:E414156 E414184:E414192 E414220:E414228 E414256:E414264 E414292:E414300 E414328:E414336 E414364:E414372 E414400:E414408 E414436:E414444 E414472:E414480 E414508:E414516 E414544:E414552 E414580:E414588 E414616:E414624 E414652:E414660 E414688:E414696 E414724:E414732 E414760:E414768 E414796:E414804 E414832:E414840 E414868:E414876 E414904:E414912 E414940:E414948 E414976:E414984 E415012:E415020 E415048:E415056 E415084:E415092 E415120:E415128 E415156:E415164 E415192:E415200 E415228:E415236 E415264:E415272 E415300:E415308 E415336:E415344 E415372:E415380 E415408:E415416 E415444:E415452 E415480:E415488 E415516:E415524 E415552:E415560 E415588:E415596 E415624:E415632 E415660:E415668 E415696:E415704 E415732:E415740 E415768:E415776 E415804:E415812 E415840:E415848 E415876:E415884 E415912:E415920 E415948:E415956 E415984:E415992 E416020:E416028 E416056:E416064 E416092:E416100 E416128:E416136 E416164:E416172 E416200:E416208 E416236:E416244 E416272:E416280 E416308:E416316 E416344:E416352 E416380:E416388 E416416:E416424 E416452:E416460 E416488:E416496 E416524:E416532 E416560:E416568 E416596:E416604 E416632:E416640 E416668:E416676 E416704:E416712 E416740:E416748 E416776:E416784 E416812:E416820 E416848:E416856 E416884:E416892 E416920:E416928 E416956:E416964 E416992:E417000 E417028:E417036 E417064:E417072 E417100:E417108 E417136:E417144 E417172:E417180 E417208:E417216 E417244:E417252 E417280:E417288 E417316:E417324 E417352:E417360 E417388:E417396 E417424:E417432 E417460:E417468 E417496:E417504 E417532:E417540 E417568:E417576 E417604:E417612 E417640:E417648 E417676:E417684 E417712:E417720 E417748:E417756 E417784:E417792 E417820:E417828 E417856:E417864 E417892:E417900 E417928:E417936 E417964:E417972 E418000:E418008 E418036:E418044 E418072:E418080 E418108:E418116 E418144:E418152 E418180:E418188 E418216:E418224 E418252:E418260 E418288:E418296 E418324:E418332 E418360:E418368 E418396:E418404 E418432:E418440 E418468:E418476 E418504:E418512 E418540:E418548 E418576:E418584 E418612:E418620 E418648:E418656 E418684:E418692 E418720:E418728 E418756:E418764 E418792:E418800 E418828:E418836 E418864:E418872 E418900:E418908 E418936:E418944 E418972:E418980 E419008:E419016 E419044:E419052 E419080:E419088 E419116:E419124 E419152:E419160 E419188:E419196 E419224:E419232 E419260:E419268 E419296:E419304 E419332:E419340 E419368:E419376 E419404:E419412 E419440:E419448 E419476:E419484 E419512:E419520 E419548:E419556 E419584:E419592 E419620:E419628 E419656:E419664 E419692:E419700 E419728:E419736 E419764:E419772 E419800:E419808 E419836:E419844 E419872:E419880 E419908:E419916 E419944:E419952 E419980:E419988 E420016:E420024 E420052:E420060 E420088:E420096 E420124:E420132 E420160:E420168 E420196:E420204 E420232:E420240 E420268:E420276 E420304:E420312 E420340:E420348 E420376:E420384 E420412:E420420 E420448:E420456 E420484:E420492 E420520:E420528 E420556:E420564 E420592:E420600 E420628:E420636 E420664:E420672 E420700:E420708 E420736:E420744 E420772:E420780 E420808:E420816 E420844:E420852 E420880:E420888 E420916:E420924 E420952:E420960 E420988:E420996 E421024:E421032 E421060:E421068 E421096:E421104 E421132:E421140 E421168:E421176 E421204:E421212 E421240:E421248 E421276:E421284 E421312:E421320 E421348:E421356 E421384:E421392 E421420:E421428 E421456:E421464 E421492:E421500 E421528:E421536 E421564:E421572 E421600:E421608 E421636:E421644 E421672:E421680 E421708:E421716 E421744:E421752 E421780:E421788 E421816:E421824 E421852:E421860 E421888:E421896 E421924:E421932 E421960:E421968 E421996:E422004 E422032:E422040 E422068:E422076 E422104:E422112 E422140:E422148 E422176:E422184 E422212:E422220 E422248:E422256 E422284:E422292 E422320:E422328 E422356:E422364 E422392:E422400 E422428:E422436 E422464:E422472 E422500:E422508 E422536:E422544 E422572:E422580 E422608:E422616 E422644:E422652 E422680:E422688 E422716:E422724 E422752:E422760 E422788:E422796 E422824:E422832 E422860:E422868 E422896:E422904 E422932:E422940 E422968:E422976 E423004:E423012 E423040:E423048 E423076:E423084 E423112:E423120 E423148:E423156 E423184:E423192 E423220:E423228 E423256:E423264 E423292:E423300 E423328:E423336 E423364:E423372 E423400:E423408 E423436:E423444 E423472:E423480 E423508:E423516 E423544:E423552 E423580:E423588 E423616:E423624 E423652:E423660 E423688:E423696 E423724:E423732 E423760:E423768 E423796:E423804 E423832:E423840 E423868:E423876 E423904:E423912 E423940:E423948 E423976:E423984 E424012:E424020 E424048:E424056 E424084:E424092 E424120:E424128 E424156:E424164 E424192:E424200 E424228:E424236 E424264:E424272 E424300:E424308 E424336:E424344 E424372:E424380 E424408:E424416 E424444:E424452 E424480:E424488 E424516:E424524 E424552:E424560 E424588:E424596 E424624:E424632 E424660:E424668 E424696:E424704 E424732:E424740 E424768:E424776 E424804:E424812 E424840:E424848 E424876:E424884 E424912:E424920 E424948:E424956 E424984:E424992 E425020:E425028 E425056:E425064 E425092:E425100 E425128:E425136 E425164:E425172 E425200:E425208 E425236:E425244 E425272:E425280 E425308:E425316 E425344:E425352 E425380:E425388 E425416:E425424 E425452:E425460 E425488:E425496 E425524:E425532 E425560:E425568 E425596:E425604 E425632:E425640 E425668:E425676 E425704:E425712 E425740:E425748 E425776:E425784 E425812:E425820 E425848:E425856 E425884:E425892 E425920:E425928 E425956:E425964 E425992:E426000 E426028:E426036 E426064:E426072 E426100:E426108 E426136:E426144 E426172:E426180 E426208:E426216 E426244:E426252 E426280:E426288 E426316:E426324 E426352:E426360 E426388:E426396 E426424:E426432 E426460:E426468 E426496:E426504 E426532:E426540 E426568:E426576 E426604:E426612 E426640:E426648 E426676:E426684 E426712:E426720 E426748:E426756 E426784:E426792 E426820:E426828 E426856:E426864 E426892:E426900 E426928:E426936 E426964:E426972 E427000:E427008 E427036:E427044 E427072:E427080 E427108:E427116 E427144:E427152 E427180:E427188 E427216:E427224 E427252:E427260 E427288:E427296 E427324:E427332 E427360:E427368 E427396:E427404 E427432:E427440 E427468:E427476 E427504:E427512 E427540:E427548 E427576:E427584 E427612:E427620 E427648:E427656 E427684:E427692 E427720:E427728 E427756:E427764 E427792:E427800 E427828:E427836 E427864:E427872 E427900:E427908 E427936:E427944 E427972:E427980 E428008:E428016 E428044:E428052 E428080:E428088 E428116:E428124 E428152:E428160 E428188:E428196 E428224:E428232 E428260:E428268 E428296:E428304 E428332:E428340 E428368:E428376 E428404:E428412 E428440:E428448 E428476:E428484 E428512:E428520 E428548:E428556 E428584:E428592 E428620:E428628 E428656:E428664 E428692:E428700 E428728:E428736 E428764:E428772 E428800:E428808 E428836:E428844 E428872:E428880 E428908:E428916 E428944:E428952 E428980:E428988 E429016:E429024 E429052:E429060 E429088:E429096 E429124:E429132 E429160:E429168 E429196:E429204 E429232:E429240 E429268:E429276 E429304:E429312 E429340:E429348 E429376:E429384 E429412:E429420 E429448:E429456 E429484:E429492 E429520:E429528 E429556:E429564 E429592:E429600 E429628:E429636 E429664:E429672 E429700:E429708 E429736:E429744 E429772:E429780 E429808:E429816 E429844:E429852 E429880:E429888 E429916:E429924 E429952:E429960 E429988:E429996 E430024:E430032 E430060:E430068 E430096:E430104 E430132:E430140 E430168:E430176 E430204:E430212 E430240:E430248 E430276:E430284 E430312:E430320 E430348:E430356 E430384:E430392 E430420:E430428 E430456:E430464 E430492:E430500 E430528:E430536 E430564:E430572 E430600:E430608 E430636:E430644 E430672:E430680 E430708:E430716 E430744:E430752 E430780:E430788 E430816:E430824 E430852:E430860 E430888:E430896 E430924:E430932 E430960:E430968 E430996:E431004 E431032:E431040 E431068:E431076 E431104:E431112 E431140:E431148 E431176:E431184 E431212:E431220 E431248:E431256 E431284:E431292 E431320:E431328 E431356:E431364 E431392:E431400 E431428:E431436 E431464:E431472 E431500:E431508 E431536:E431544 E431572:E431580 E431608:E431616 E431644:E431652 E431680:E431688 E431716:E431724 E431752:E431760 E431788:E431796 E431824:E431832 E431860:E431868 E431896:E431904 E431932:E431940 E431968:E431976 E432004:E432012 E432040:E432048 E432076:E432084 E432112:E432120 E432148:E432156 E432184:E432192 E432220:E432228 E432256:E432264 E432292:E432300 E432328:E432336 E432364:E432372 E432400:E432408 E432436:E432444 E432472:E432480 E432508:E432516 E432544:E432552 E432580:E432588 E432616:E432624 E432652:E432660 E432688:E432696 E432724:E432732 E432760:E432768 E432796:E432804 E432832:E432840 E432868:E432876 E432904:E432912 E432940:E432948 E432976:E432984 E433012:E433020 E433048:E433056 E433084:E433092 E433120:E433128 E433156:E433164 E433192:E433200 E433228:E433236 E433264:E433272 E433300:E433308 E433336:E433344 E433372:E433380 E433408:E433416 E433444:E433452 E433480:E433488 E433516:E433524 E433552:E433560 E433588:E433596 E433624:E433632 E433660:E433668 E433696:E433704 E433732:E433740 E433768:E433776 E433804:E433812 E433840:E433848 E433876:E433884 E433912:E433920 E433948:E433956 E433984:E433992 E434020:E434028 E434056:E434064 E434092:E434100 E434128:E434136 E434164:E434172 E434200:E434208 E434236:E434244 E434272:E434280 E434308:E434316 E434344:E434352 E434380:E434388 E434416:E434424 E434452:E434460 E434488:E434496 E434524:E434532 E434560:E434568 E434596:E434604 E434632:E434640 E434668:E434676 E434704:E434712 E434740:E434748 E434776:E434784 E434812:E434820 E434848:E434856 E434884:E434892 E434920:E434928 E434956:E434964 E434992:E435000 E435028:E435036 E435064:E435072 E435100:E435108 E435136:E435144 E435172:E435180 E435208:E435216 E435244:E435252 E435280:E435288 E435316:E435324 E435352:E435360 E435388:E435396 E435424:E435432 E435460:E435468 E435496:E435504 E435532:E435540 E435568:E435576 E435604:E435612 E435640:E435648 E435676:E435684 E435712:E435720 E435748:E435756 E435784:E435792 E435820:E435828 E435856:E435864 E435892:E435900 E435928:E435936 E435964:E435972 E436000:E436008 E436036:E436044 E436072:E436080 E436108:E436116 E436144:E436152 E436180:E436188 E436216:E436224 E436252:E436260 E436288:E436296 E436324:E436332 E436360:E436368 E436396:E436404 E436432:E436440 E436468:E436476 E436504:E436512 E436540:E436548 E436576:E436584 E436612:E436620 E436648:E436656 E436684:E436692 E436720:E436728 E436756:E436764 E436792:E436800 E436828:E436836 E436864:E436872 E436900:E436908 E436936:E436944 E436972:E436980 E437008:E437016 E437044:E437052 E437080:E437088 E437116:E437124 E437152:E437160 E437188:E437196 E437224:E437232 E437260:E437268 E437296:E437304 E437332:E437340 E437368:E437376 E437404:E437412 E437440:E437448 E437476:E437484 E437512:E437520 E437548:E437556 E437584:E437592 E437620:E437628 E437656:E437664 E437692:E437700 E437728:E437736 E437764:E437772 E437800:E437808 E437836:E437844 E437872:E437880 E437908:E437916 E437944:E437952 E437980:E437988 E438016:E438024 E438052:E438060 E438088:E438096 E438124:E438132 E438160:E438168 E438196:E438204 E438232:E438240 E438268:E438276 E438304:E438312 E438340:E438348 E438376:E438384 E438412:E438420 E438448:E438456 E438484:E438492 E438520:E438528 E438556:E438564 E438592:E438600 E438628:E438636 E438664:E438672 E438700:E438708 E438736:E438744 E438772:E438780 E438808:E438816 E438844:E438852 E438880:E438888 E438916:E438924 E438952:E438960 E438988:E438996 E439024:E439032 E439060:E439068 E439096:E439104 E439132:E439140 E439168:E439176 E439204:E439212 E439240:E439248 E439276:E439284 E439312:E439320 E439348:E439356 E439384:E439392 E439420:E439428 E439456:E439464 E439492:E439500 E439528:E439536 E439564:E439572 E439600:E439608 E439636:E439644 E439672:E439680 E439708:E439716 E439744:E439752 E439780:E439788 E439816:E439824 E439852:E439860 E439888:E439896 E439924:E439932 E439960:E439968 E439996:E440004 E440032:E440040 E440068:E440076 E440104:E440112 E440140:E440148 E440176:E440184 E440212:E440220 E440248:E440256 E440284:E440292 E440320:E440328 E440356:E440364 E440392:E440400 E440428:E440436 E440464:E440472 E440500:E440508 E440536:E440544 E440572:E440580 E440608:E440616 E440644:E440652 E440680:E440688 E440716:E440724 E440752:E440760 E440788:E440796 E440824:E440832 E440860:E440868 E440896:E440904 E440932:E440940 E440968:E440976 E441004:E441012 E441040:E441048 E441076:E441084 E441112:E441120 E441148:E441156 E441184:E441192 E441220:E441228 E441256:E441264 E441292:E441300 E441328:E441336 E441364:E441372 E441400:E441408 E441436:E441444 E441472:E441480 E441508:E441516 E441544:E441552 E441580:E441588 E441616:E441624 E441652:E441660 E441688:E441696 E441724:E441732 E441760:E441768 E441796:E441804 E441832:E441840 E441868:E441876 E441904:E441912 E441940:E441948 E441976:E441984 E442012:E442020 E442048:E442056 E442084:E442092 E442120:E442128 E442156:E442164 E442192:E442200 E442228:E442236 E442264:E442272 E442300:E442308 E442336:E442344 E442372:E442380 E442408:E442416 E442444:E442452 E442480:E442488 E442516:E442524 E442552:E442560 E442588:E442596 E442624:E442632 E442660:E442668 E442696:E442704 E442732:E442740 E442768:E442776 E442804:E442812 E442840:E442848 E442876:E442884 E442912:E442920 E442948:E442956 E442984:E442992 E443020:E443028 E443056:E443064 E443092:E443100 E443128:E443136 E443164:E443172 E443200:E443208 E443236:E443244 E443272:E443280 E443308:E443316 E443344:E443352 E443380:E443388 E443416:E443424 E443452:E443460 E443488:E443496 E443524:E443532 E443560:E443568 E443596:E443604 E443632:E443640 E443668:E443676 E443704:E443712 E443740:E443748 E443776:E443784 E443812:E443820 E443848:E443856 E443884:E443892 E443920:E443928 E443956:E443964 E443992:E444000 E444028:E444036 E444064:E444072 E444100:E444108 E444136:E444144 E444172:E444180 E444208:E444216 E444244:E444252 E444280:E444288 E444316:E444324 E444352:E444360 E444388:E444396 E444424:E444432 E444460:E444468 E444496:E444504 E444532:E444540 E444568:E444576 E444604:E444612 E444640:E444648 E444676:E444684 E444712:E444720 E444748:E444756 E444784:E444792 E444820:E444828 E444856:E444864 E444892:E444900 E444928:E444936 E444964:E444972 E445000:E445008 E445036:E445044 E445072:E445080 E445108:E445116 E445144:E445152 E445180:E445188 E445216:E445224 E445252:E445260 E445288:E445296 E445324:E445332 E445360:E445368 E445396:E445404 E445432:E445440 E445468:E445476 E445504:E445512 E445540:E445548 E445576:E445584 E445612:E445620 E445648:E445656 E445684:E445692 E445720:E445728 E445756:E445764 E445792:E445800 E445828:E445836 E445864:E445872 E445900:E445908 E445936:E445944 E445972:E445980 E446008:E446016 E446044:E446052 E446080:E446088 E446116:E446124 E446152:E446160 E446188:E446196 E446224:E446232 E446260:E446268 E446296:E446304 E446332:E446340 E446368:E446376 E446404:E446412 E446440:E446448 E446476:E446484 E446512:E446520 E446548:E446556 E446584:E446592 E446620:E446628 E446656:E446664 E446692:E446700 E446728:E446736 E446764:E446772 E446800:E446808 E446836:E446844 E446872:E446880 E446908:E446916 E446944:E446952 E446980:E446988 E447016:E447024 E447052:E447060 E447088:E447096 E447124:E447132 E447160:E447168 E447196:E447204 E447232:E447240 E447268:E447276 E447304:E447312 E447340:E447348 E447376:E447384 E447412:E447420 E447448:E447456 E447484:E447492 E447520:E447528 E447556:E447564 E447592:E447600 E447628:E447636 E447664:E447672 E447700:E447708 E447736:E447744 E447772:E447780 E447808:E447816 E447844:E447852 E447880:E447888 E447916:E447924 E447952:E447960 E447988:E447996 E448024:E448032 E448060:E448068 E448096:E448104 E448132:E448140 E448168:E448176 E448204:E448212 E448240:E448248 E448276:E448284 E448312:E448320 E448348:E448356 E448384:E448392 E448420:E448428 E448456:E448464 E448492:E448500 E448528:E448536 E448564:E448572 E448600:E448608 E448636:E448644 E448672:E448680 E448708:E448716 E448744:E448752 E448780:E448788 E448816:E448824 E448852:E448860 E448888:E448896 E448924:E448932 E448960:E448968 E448996:E449004 E449032:E449040 E449068:E449076 E449104:E449112 E449140:E449148 E449176:E449184 E449212:E449220 E449248:E449256 E449284:E449292 E449320:E449328 E449356:E449364 E449392:E449400 E449428:E449436 E449464:E449472 E449500:E449508 E449536:E449544 E449572:E449580 E449608:E449616 E449644:E449652 E449680:E449688 E449716:E449724 E449752:E449760 E449788:E449796 E449824:E449832 E449860:E449868 E449896:E449904 E449932:E449940 E449968:E449976 E450004:E450012 E450040:E450048 E450076:E450084 E450112:E450120 E450148:E450156 E450184:E450192 E450220:E450228 E450256:E450264 E450292:E450300 E450328:E450336 E450364:E450372 E450400:E450408 E450436:E450444 E450472:E450480 E450508:E450516 E450544:E450552 E450580:E450588 E450616:E450624 E450652:E450660 E450688:E450696 E450724:E450732 E450760:E450768 E450796:E450804 E450832:E450840 E450868:E450876 E450904:E450912 E450940:E450948 E450976:E450984 E451012:E451020 E451048:E451056 E451084:E451092 E451120:E451128 E451156:E451164 E451192:E451200 E451228:E451236 E451264:E451272 E451300:E451308 E451336:E451344 E451372:E451380 E451408:E451416 E451444:E451452 E451480:E451488 E451516:E451524 E451552:E451560 E451588:E451596 E451624:E451632 E451660:E451668 E451696:E451704 E451732:E451740 E451768:E451776 E451804:E451812 E451840:E451848 E451876:E451884 E451912:E451920 E451948:E451956 E451984:E451992 E452020:E452028 E452056:E452064 E452092:E452100 E452128:E452136 E452164:E452172 E452200:E452208 E452236:E452244 E452272:E452280 E452308:E452316 E452344:E452352 E452380:E452388 E452416:E452424 E452452:E452460 E452488:E452496 E452524:E452532 E452560:E452568 E452596:E452604 E452632:E452640 E452668:E452676 E452704:E452712 E452740:E452748 E452776:E452784 E452812:E452820 E452848:E452856 E452884:E452892 E452920:E452928 E452956:E452964 E452992:E453000 E453028:E453036 E453064:E453072 E453100:E453108 E453136:E453144 E453172:E453180 E453208:E453216 E453244:E453252 E453280:E453288 E453316:E453324 E453352:E453360 E453388:E453396 E453424:E453432 E453460:E453468 E453496:E453504 E453532:E453540 E453568:E453576 E453604:E453612 E453640:E453648 E453676:E453684 E453712:E453720 E453748:E453756 E453784:E453792 E453820:E453828 E453856:E453864 E453892:E453900 E453928:E453936 E453964:E453972 E454000:E454008 E454036:E454044 E454072:E454080 E454108:E454116 E454144:E454152 E454180:E454188 E454216:E454224 E454252:E454260 E454288:E454296 E454324:E454332 E454360:E454368 E454396:E454404 E454432:E454440 E454468:E454476 E454504:E454512 E454540:E454548 E454576:E454584 E454612:E454620 E454648:E454656 E454684:E454692 E454720:E454728 E454756:E454764 E454792:E454800 E454828:E454836 E454864:E454872 E454900:E454908 E454936:E454944 E454972:E454980 E455008:E455016 E455044:E455052 E455080:E455088 E455116:E455124 E455152:E455160 E455188:E455196 E455224:E455232 E455260:E455268 E455296:E455304 E455332:E455340 E455368:E455376 E455404:E455412 E455440:E455448 E455476:E455484 E455512:E455520 E455548:E455556 E455584:E455592 E455620:E455628 E455656:E455664 E455692:E455700 E455728:E455736 E455764:E455772 E455800:E455808 E455836:E455844 E455872:E455880 E455908:E455916 E455944:E455952 E455980:E455988 E456016:E456024 E456052:E456060 E456088:E456096 E456124:E456132 E456160:E456168 E456196:E456204 E456232:E456240 E456268:E456276 E456304:E456312 E456340:E456348 E456376:E456384 E456412:E456420 E456448:E456456 E456484:E456492 E456520:E456528 E456556:E456564 E456592:E456600 E456628:E456636 E456664:E456672 E456700:E456708 E456736:E456744 E456772:E456780 E456808:E456816 E456844:E456852 E456880:E456888 E456916:E456924 E456952:E456960 E456988:E456996 E457024:E457032 E457060:E457068 E457096:E457104 E457132:E457140 E457168:E457176 E457204:E457212 E457240:E457248 E457276:E457284 E457312:E457320 E457348:E457356 E457384:E457392 E457420:E457428 E457456:E457464 E457492:E457500 E457528:E457536 E457564:E457572 E457600:E457608 E457636:E457644 E457672:E457680 E457708:E457716 E457744:E457752 E457780:E457788 E457816:E457824 E457852:E457860 E457888:E457896 E457924:E457932 E457960:E457968 E457996:E458004 E458032:E458040 E458068:E458076 E458104:E458112 E458140:E458148 E458176:E458184 E458212:E458220 E458248:E458256 E458284:E458292 E458320:E458328 E458356:E458364 E458392:E458400 E458428:E458436 E458464:E458472 E458500:E458508 E458536:E458544 E458572:E458580 E458608:E458616 E458644:E458652 E458680:E458688 E458716:E458724 E458752:E458760 E458788:E458796 E458824:E458832 E458860:E458868 E458896:E458904 E458932:E458940 E458968:E458976 E459004:E459012 E459040:E459048 E459076:E459084 E459112:E459120 E459148:E459156 E459184:E459192 E459220:E459228 E459256:E459264 E459292:E459300 E459328:E459336 E459364:E459372 E459400:E459408 E459436:E459444 E459472:E459480 E459508:E459516 E459544:E459552 E459580:E459588 E459616:E459624 E459652:E459660 E459688:E459696 E459724:E459732 E459760:E459768 E459796:E459804 E459832:E459840 E459868:E459876 E459904:E459912 E459940:E459948 E459976:E459984 E460012:E460020 E460048:E460056 E460084:E460092 E460120:E460128 E460156:E460164 E460192:E460200 E460228:E460236 E460264:E460272 E460300:E460308 E460336:E460344 E460372:E460380 E460408:E460416 E460444:E460452 E460480:E460488 E460516:E460524 E460552:E460560 E460588:E460596 E460624:E460632 E460660:E460668 E460696:E460704 E460732:E460740 E460768:E460776 E460804:E460812 E460840:E460848 E460876:E460884 E460912:E460920 E460948:E460956 E460984:E460992 E461020:E461028 E461056:E461064 E461092:E461100 E461128:E461136 E461164:E461172 E461200:E461208 E461236:E461244 E461272:E461280 E461308:E461316 E461344:E461352 E461380:E461388 E461416:E461424 E461452:E461460 E461488:E461496 E461524:E461532 E461560:E461568 E461596:E461604 E461632:E461640 E461668:E461676 E461704:E461712 E461740:E461748 E461776:E461784 E461812:E461820 E461848:E461856 E461884:E461892 E461920:E461928 E461956:E461964 E461992:E462000 E462028:E462036 E462064:E462072 E462100:E462108 E462136:E462144 E462172:E462180 E462208:E462216 E462244:E462252 E462280:E462288 E462316:E462324 E462352:E462360 E462388:E462396 E462424:E462432 E462460:E462468 E462496:E462504 E462532:E462540 E462568:E462576 E462604:E462612 E462640:E462648 E462676:E462684 E462712:E462720 E462748:E462756 E462784:E462792 E462820:E462828 E462856:E462864 E462892:E462900 E462928:E462936 E462964:E462972 E463000:E463008 E463036:E463044 E463072:E463080 E463108:E463116 E463144:E463152 E463180:E463188 E463216:E463224 E463252:E463260 E463288:E463296 E463324:E463332 E463360:E463368 E463396:E463404 E463432:E463440 E463468:E463476 E463504:E463512 E463540:E463548 E463576:E463584 E463612:E463620 E463648:E463656 E463684:E463692 E463720:E463728 E463756:E463764 E463792:E463800 E463828:E463836 E463864:E463872 E463900:E463908 E463936:E463944 E463972:E463980 E464008:E464016 E464044:E464052 E464080:E464088 E464116:E464124 E464152:E464160 E464188:E464196 E464224:E464232 E464260:E464268 E464296:E464304 E464332:E464340 E464368:E464376 E464404:E464412 E464440:E464448 E464476:E464484 E464512:E464520 E464548:E464556 E464584:E464592 E464620:E464628 E464656:E464664 E464692:E464700 E464728:E464736 E464764:E464772 E464800:E464808 E464836:E464844 E464872:E464880 E464908:E464916 E464944:E464952 E464980:E464988 E465016:E465024 E465052:E465060 E465088:E465096 E465124:E465132 E465160:E465168 E465196:E465204 E465232:E465240 E465268:E465276 E465304:E465312 E465340:E465348 E465376:E465384 E465412:E465420 E465448:E465456 E465484:E465492 E465520:E465528 E465556:E465564 E465592:E465600 E465628:E465636 E465664:E465672 E465700:E465708 E465736:E465744 E465772:E465780 E465808:E465816 E465844:E465852 E465880:E465888 E465916:E465924 E465952:E465960 E465988:E465996 E466024:E466032 E466060:E466068 E466096:E466104 E466132:E466140 E466168:E466176 E466204:E466212 E466240:E466248 E466276:E466284 E466312:E466320 E466348:E466356 E466384:E466392 E466420:E466428 E466456:E466464 E466492:E466500 E466528:E466536 E466564:E466572 E466600:E466608 E466636:E466644 E466672:E466680 E466708:E466716 E466744:E466752 E466780:E466788 E466816:E466824 E466852:E466860 E466888:E466896 E466924:E466932 E466960:E466968 E466996:E467004 E467032:E467040 E467068:E467076 E467104:E467112 E467140:E467148 E467176:E467184 E467212:E467220 E467248:E467256 E467284:E467292 E467320:E467328 E467356:E467364 E467392:E467400 E467428:E467436 E467464:E467472 E467500:E467508 E467536:E467544 E467572:E467580 E467608:E467616 E467644:E467652 E467680:E467688 E467716:E467724 E467752:E467760 E467788:E467796 E467824:E467832 E467860:E467868 E467896:E467904 E467932:E467940 E467968:E467976 E468004:E468012 E468040:E468048 E468076:E468084 E468112:E468120 E468148:E468156 E468184:E468192 E468220:E468228 E468256:E468264 E468292:E468300 E468328:E468336 E468364:E468372 E468400:E468408 E468436:E468444 E468472:E468480 E468508:E468516 E468544:E468552 E468580:E468588 E468616:E468624 E468652:E468660 E468688:E468696 E468724:E468732 E468760:E468768 E468796:E468804 E468832:E468840 E468868:E468876 E468904:E468912 E468940:E468948 E468976:E468984 E469012:E469020 E469048:E469056 E469084:E469092 E469120:E469128 E469156:E469164 E469192:E469200 E469228:E469236 E469264:E469272 E469300:E469308 E469336:E469344 E469372:E469380 E469408:E469416 E469444:E469452 E469480:E469488 E469516:E469524 E469552:E469560 E469588:E469596 E469624:E469632 E469660:E469668 E469696:E469704 E469732:E469740 E469768:E469776 E469804:E469812 E469840:E469848 E469876:E469884 E469912:E469920 E469948:E469956 E469984:E469992 E470020:E470028 E470056:E470064 E470092:E470100 E470128:E470136 E470164:E470172 E470200:E470208 E470236:E470244 E470272:E470280 E470308:E470316 E470344:E470352 E470380:E470388 E470416:E470424 E470452:E470460 E470488:E470496 E470524:E470532 E470560:E470568 E470596:E470604 E470632:E470640 E470668:E470676 E470704:E470712 E470740:E470748 E470776:E470784 E470812:E470820 E470848:E470856 E470884:E470892 E470920:E470928 E470956:E470964 E470992:E471000 E471028:E471036 E471064:E471072 E471100:E471108 E471136:E471144 E471172:E471180 E471208:E471216 E471244:E471252 E471280:E471288 E471316:E471324 E471352:E471360 E471388:E471396 E471424:E471432 E471460:E471468 E471496:E471504 E471532:E471540 E471568:E471576 E471604:E471612 E471640:E471648 E471676:E471684 E471712:E471720 E471748:E471756 E471784:E471792 E471820:E471828 E471856:E471864 E471892:E471900 E471928:E471936 E471964:E471972 E472000:E472008 E472036:E472044 E472072:E472080 E472108:E472116 E472144:E472152 E472180:E472188 E472216:E472224 E472252:E472260 E472288:E472296 E472324:E472332 E472360:E472368 E472396:E472404 E472432:E472440 E472468:E472476 E472504:E472512 E472540:E472548 E472576:E472584 E472612:E472620 E472648:E472656 E472684:E472692 E472720:E472728 E472756:E472764 E472792:E472800 E472828:E472836 E472864:E472872 E472900:E472908 E472936:E472944 E472972:E472980 E473008:E473016 E473044:E473052 E473080:E473088 E473116:E473124 E473152:E473160 E473188:E473196 E473224:E473232 E473260:E473268 E473296:E473304 E473332:E473340 E473368:E473376 E473404:E473412 E473440:E473448 E473476:E473484 E473512:E473520 E473548:E473556 E473584:E473592 E473620:E473628 E473656:E473664 E473692:E473700 E473728:E473736 E473764:E473772 E473800:E473808 E473836:E473844 E473872:E473880 E473908:E473916 E473944:E473952 E473980:E473988 E474016:E474024 E474052:E474060 E474088:E474096 E474124:E474132 E474160:E474168 E474196:E474204 E474232:E474240 E474268:E474276 E474304:E474312 E474340:E474348 E474376:E474384 E474412:E474420 E474448:E474456 E474484:E474492 E474520:E474528 E474556:E474564 E474592:E474600 E474628:E474636 E474664:E474672 E474700:E474708 E474736:E474744 E474772:E474780 E474808:E474816 E474844:E474852 E474880:E474888 E474916:E474924 E474952:E474960 E474988:E474996 E475024:E475032 E475060:E475068 E475096:E475104 E475132:E475140 E475168:E475176 E475204:E475212 E475240:E475248 E475276:E475284 E475312:E475320 E475348:E475356 E475384:E475392 E475420:E475428 E475456:E475464 E475492:E475500 E475528:E475536 E475564:E475572 E475600:E475608 E475636:E475644 E475672:E475680 E475708:E475716 E475744:E475752 E475780:E475788 E475816:E475824 E475852:E475860 E475888:E475896 E475924:E475932 E475960:E475968 E475996:E476004 E476032:E476040 E476068:E476076 E476104:E476112 E476140:E476148 E476176:E476184 E476212:E476220 E476248:E476256 E476284:E476292 E476320:E476328 E476356:E476364 E476392:E476400 E476428:E476436 E476464:E476472 E476500:E476508 E476536:E476544 E476572:E476580 E476608:E476616 E476644:E476652 E476680:E476688 E476716:E476724 E476752:E476760 E476788:E476796 E476824:E476832 E476860:E476868 E476896:E476904 E476932:E476940 E476968:E476976 E477004:E477012 E477040:E477048 E477076:E477084 E477112:E477120 E477148:E477156 E477184:E477192 E477220:E477228 E477256:E477264 E477292:E477300 E477328:E477336 E477364:E477372 E477400:E477408 E477436:E477444 E477472:E477480 E477508:E477516 E477544:E477552 E477580:E477588 E477616:E477624 E477652:E477660 E477688:E477696 E477724:E477732 E477760:E477768 E477796:E477804 E477832:E477840 E477868:E477876 E477904:E477912 E477940:E477948 E477976:E477984 E478012:E478020 E478048:E478056 E478084:E478092 E478120:E478128 E478156:E478164 E478192:E478200 E478228:E478236 E478264:E478272 E478300:E478308 E478336:E478344 E478372:E478380 E478408:E478416 E478444:E478452 E478480:E478488 E478516:E478524 E478552:E478560 E478588:E478596 E478624:E478632 E478660:E478668 E478696:E478704 E478732:E478740 E478768:E478776 E478804:E478812 E478840:E478848 E478876:E478884 E478912:E478920 E478948:E478956 E478984:E478992 E479020:E479028 E479056:E479064 E479092:E479100 E479128:E479136 E479164:E479172 E479200:E479208 E479236:E479244 E479272:E479280 E479308:E479316 E479344:E479352 E479380:E479388 E479416:E479424 E479452:E479460 E479488:E479496 E479524:E479532 E479560:E479568 E479596:E479604 E479632:E479640 E479668:E479676 E479704:E479712 E479740:E479748 E479776:E479784 E479812:E479820 E479848:E479856 E479884:E479892 E479920:E479928 E479956:E479964 E479992:E480000 E480028:E480036 E480064:E480072 E480100:E480108 E480136:E480144 E480172:E480180 E480208:E480216 E480244:E480252 E480280:E480288 E480316:E480324 E480352:E480360 E480388:E480396 E480424:E480432 E480460:E480468 E480496:E480504 E480532:E480540 E480568:E480576 E480604:E480612 E480640:E480648 E480676:E480684 E480712:E480720 E480748:E480756 E480784:E480792 E480820:E480828 E480856:E480864 E480892:E480900 E480928:E480936 E480964:E480972 E481000:E481008 E481036:E481044 E481072:E481080 E481108:E481116 E481144:E481152 E481180:E481188 E481216:E481224 E481252:E481260 E481288:E481296 E481324:E481332 E481360:E481368 E481396:E481404 E481432:E481440 E481468:E481476 E481504:E481512 E481540:E481548 E481576:E481584 E481612:E481620 E481648:E481656 E481684:E481692 E481720:E481728 E481756:E481764 E481792:E481800 E481828:E481836 E481864:E481872 E481900:E481908 E481936:E481944 E481972:E481980 E482008:E482016 E482044:E482052 E482080:E482088 E482116:E482124 E482152:E482160 E482188:E482196 E482224:E482232 E482260:E482268 E482296:E482304 E482332:E482340 E482368:E482376 E482404:E482412 E482440:E482448 E482476:E482484 E482512:E482520 E482548:E482556 E482584:E482592 E482620:E482628 E482656:E482664 E482692:E482700 E482728:E482736 E482764:E482772 E482800:E482808 E482836:E482844 E482872:E482880 E482908:E482916 E482944:E482952 E482980:E482988 E483016:E483024 E483052:E483060 E483088:E483096 E483124:E483132 E483160:E483168 E483196:E483204 E483232:E483240 E483268:E483276 E483304:E483312 E483340:E483348 E483376:E483384 E483412:E483420 E483448:E483456 E483484:E483492 E483520:E483528 E483556:E483564 E483592:E483600 E483628:E483636 E483664:E483672 E483700:E483708 E483736:E483744 E483772:E483780 E483808:E483816 E483844:E483852 E483880:E483888 E483916:E483924 E483952:E483960 E483988:E483996 E484024:E484032 E484060:E484068 E484096:E484104 E484132:E484140 E484168:E484176 E484204:E484212 E484240:E484248 E484276:E484284 E484312:E484320 E484348:E484356 E484384:E484392 E484420:E484428 E484456:E484464 E484492:E484500 E484528:E484536 E484564:E484572 E484600:E484608 E484636:E484644 E484672:E484680 E484708:E484716 E484744:E484752 E484780:E484788 E484816:E484824 E484852:E484860 E484888:E484896 E484924:E484932 E484960:E484968 E484996:E485004 E485032:E485040 E485068:E485076 E485104:E485112 E485140:E485148 E485176:E485184 E485212:E485220 E485248:E485256 E485284:E485292 E485320:E485328 E485356:E485364 E485392:E485400 E485428:E485436 E485464:E485472 E485500:E485508 E485536:E485544 E485572:E485580 E485608:E485616 E485644:E485652 E485680:E485688 E485716:E485724 E485752:E485760 E485788:E485796 E485824:E485832 E485860:E485868 E485896:E485904 E485932:E485940 E485968:E485976 E486004:E486012 E486040:E486048 E486076:E486084 E486112:E486120 E486148:E486156 E486184:E486192 E486220:E486228 E486256:E486264 E486292:E486300 E486328:E486336 E486364:E486372 E486400:E486408 E486436:E486444 E486472:E486480 E486508:E486516 E486544:E486552 E486580:E486588 E486616:E486624 E486652:E486660 E486688:E486696 E486724:E486732 E486760:E486768 E486796:E486804 E486832:E486840 E486868:E486876 E486904:E486912 E486940:E486948 E486976:E486984 E487012:E487020 E487048:E487056 E487084:E487092 E487120:E487128 E487156:E487164 E487192:E487200 E487228:E487236 E487264:E487272 E487300:E487308 E487336:E487344 E487372:E487380 E487408:E487416 E487444:E487452 E487480:E487488 E487516:E487524 E487552:E487560 E487588:E487596 E487624:E487632 E487660:E487668 E487696:E487704 E487732:E487740 E487768:E487776 E487804:E487812 E487840:E487848 E487876:E487884 E487912:E487920 E487948:E487956 E487984:E487992 E488020:E488028 E488056:E488064 E488092:E488100 E488128:E488136 E488164:E488172 E488200:E488208 E488236:E488244 E488272:E488280 E488308:E488316 E488344:E488352 E488380:E488388 E488416:E488424 E488452:E488460 E488488:E488496 E488524:E488532 E488560:E488568 E488596:E488604 E488632:E488640 E488668:E488676 E488704:E488712 E488740:E488748 E488776:E488784 E488812:E488820 E488848:E488856 E488884:E488892 E488920:E488928 E488956:E488964 E488992:E489000 E489028:E489036 E489064:E489072 E489100:E489108 E489136:E489144 E489172:E489180 E489208:E489216 E489244:E489252 E489280:E489288 E489316:E489324 E489352:E489360 E489388:E489396 E489424:E489432 E489460:E489468 E489496:E489504 E489532:E489540 E489568:E489576 E489604:E489612 E489640:E489648 E489676:E489684 E489712:E489720 E489748:E489756 E489784:E489792 E489820:E489828 E489856:E489864 E489892:E489900 E489928:E489936 E489964:E489972 E490000:E490008 E490036:E490044 E490072:E490080 E490108:E490116 E490144:E490152 E490180:E490188 E490216:E490224 E490252:E490260 E490288:E490296 E490324:E490332 E490360:E490368 E490396:E490404 E490432:E490440 E490468:E490476 E490504:E490512 E490540:E490548 E490576:E490584 E490612:E490620 E490648:E490656 E490684:E490692 E490720:E490728 E490756:E490764 E490792:E490800 E490828:E490836 E490864:E490872 E490900:E490908 E490936:E490944 E490972:E490980 E491008:E491016 E491044:E491052 E491080:E491088 E491116:E491124 E491152:E491160 E491188:E491196 E491224:E491232 E491260:E491268 E491296:E491304 E491332:E491340 E491368:E491376 E491404:E491412 E491440:E491448 E491476:E491484 E491512:E491520 E491548:E491556 E491584:E491592 E491620:E491628 E491656:E491664 E491692:E491700 E491728:E491736 E491764:E491772 E491800:E491808 E491836:E491844 E491872:E491880 E491908:E491916 E491944:E491952 E491980:E491988 E492016:E492024 E492052:E492060 E492088:E492096 E492124:E492132 E492160:E492168 E492196:E492204 E492232:E492240 E492268:E492276 E492304:E492312 E492340:E492348 E492376:E492384 E492412:E492420 E492448:E492456 E492484:E492492 E492520:E492528 E492556:E492564 E492592:E492600 E492628:E492636 E492664:E492672 E492700:E492708 E492736:E492744 E492772:E492780 E492808:E492816 E492844:E492852 E492880:E492888 E492916:E492924 E492952:E492960 E492988:E492996 E493024:E493032 E493060:E493068 E493096:E493104 E493132:E493140 E493168:E493176 E493204:E493212 E493240:E493248 E493276:E493284 E493312:E493320 E493348:E493356 E493384:E493392 E493420:E493428 E493456:E493464 E493492:E493500 E493528:E493536 E493564:E493572 E493600:E493608 E493636:E493644 E493672:E493680 E493708:E493716 E493744:E493752 E493780:E493788 E493816:E493824 E493852:E493860 E493888:E493896 E493924:E493932 E493960:E493968 E493996:E494004 E494032:E494040 E494068:E494076 E494104:E494112 E494140:E494148 E494176:E494184 E494212:E494220 E494248:E494256 E494284:E494292 E494320:E494328 E494356:E494364 E494392:E494400 E494428:E494436 E494464:E494472 E494500:E494508 E494536:E494544 E494572:E494580 E494608:E494616 E494644:E494652 E494680:E494688 E494716:E494724 E494752:E494760 E494788:E494796 E494824:E494832 E494860:E494868 E494896:E494904 E494932:E494940 E494968:E494976 E495004:E495012 E495040:E495048 E495076:E495084 E495112:E495120 E495148:E495156 E495184:E495192 E495220:E495228 E495256:E495264 E495292:E495300 E495328:E495336 E495364:E495372 E495400:E495408 E495436:E495444 E495472:E495480 E495508:E495516 E495544:E495552 E495580:E495588 E495616:E495624 E495652:E495660 E495688:E495696 E495724:E495732 E495760:E495768 E495796:E495804 E495832:E495840 E495868:E495876 E495904:E495912 E495940:E495948 E495976:E495984 E496012:E496020 E496048:E496056 E496084:E496092 E496120:E496128 E496156:E496164 E496192:E496200 E496228:E496236 E496264:E496272 E496300:E496308 E496336:E496344 E496372:E496380 E496408:E496416 E496444:E496452 E496480:E496488 E496516:E496524 E496552:E496560 E496588:E496596 E496624:E496632 E496660:E496668 E496696:E496704 E496732:E496740 E496768:E496776 E496804:E496812 E496840:E496848 E496876:E496884 E496912:E496920 E496948:E496956 E496984:E496992 E497020:E497028 E497056:E497064 E497092:E497100 E497128:E497136 E497164:E497172 E497200:E497208 E497236:E497244 E497272:E497280 E497308:E497316 E497344:E497352 E497380:E497388 E497416:E497424 E497452:E497460 E497488:E497496 E497524:E497532 E497560:E497568 E497596:E497604 E497632:E497640 E497668:E497676 E497704:E497712 E497740:E497748 E497776:E497784 E497812:E497820 E497848:E497856 E497884:E497892 E497920:E497928 E497956:E497964 E497992:E498000 E498028:E498036 E498064:E498072 E498100:E498108 E498136:E498144 E498172:E498180 E498208:E498216 E498244:E498252 E498280:E498288 E498316:E498324 E498352:E498360 E498388:E498396 E498424:E498432 E498460:E498468 E498496:E498504 E498532:E498540 E498568:E498576 E498604:E498612 E498640:E498648 E498676:E498684 E498712:E498720 E498748:E498756 E498784:E498792 E498820:E498828 E498856:E498864 E498892:E498900 E498928:E498936 E498964:E498972 E499000:E499008 E499036:E499044 E499072:E499080 E499108:E499116 E499144:E499152 E499180:E499188 E499216:E499224 E499252:E499260 E499288:E499296 E499324:E499332 E499360:E499368 E499396:E499404 E499432:E499440 E499468:E499476 E499504:E499512 E499540:E499548 E499576:E499584 E499612:E499620 E499648:E499656 E499684:E499692 E499720:E499728 E499756:E499764 E499792:E499800 E499828:E499836 E499864:E499872 E499900:E499908 E499936:E499944 E499972:E499980 E500008:E500016 E500044:E500052 E500080:E500088 E500116:E500124 E500152:E500160 E500188:E500196 E500224:E500232 E500260:E500268 E500296:E500304 E500332:E500340 E500368:E500376 E500404:E500412 E500440:E500448 E500476:E500484 E500512:E500520 E500548:E500556 E500584:E500592 E500620:E500628 E500656:E500664 E500692:E500700 E500728:E500736 E500764:E500772 E500800:E500808 E500836:E500844 E500872:E500880 E500908:E500916 E500944:E500952 E500980:E500988 E501016:E501024 E501052:E501060 E501088:E501096 E501124:E501132 E501160:E501168 E501196:E501204 E501232:E501240 E501268:E501276 E501304:E501312 E501340:E501348 E501376:E501384 E501412:E501420 E501448:E501456 E501484:E501492 E501520:E501528 E501556:E501564 E501592:E501600 E501628:E501636 E501664:E501672 E501700:E501708 E501736:E501744 E501772:E501780 E501808:E501816 E501844:E501852 E501880:E501888 E501916:E501924 E501952:E501960 E501988:E501996 E502024:E502032 E502060:E502068 E502096:E502104 E502132:E502140 E502168:E502176 E502204:E502212 E502240:E502248 E502276:E502284 E502312:E502320 E502348:E502356 E502384:E502392 E502420:E502428 E502456:E502464 E502492:E502500 E502528:E502536 E502564:E502572 E502600:E502608 E502636:E502644 E502672:E502680 E502708:E502716 E502744:E502752 E502780:E502788 E502816:E502824 E502852:E502860 E502888:E502896 E502924:E502932 E502960:E502968 E502996:E503004 E503032:E503040 E503068:E503076 E503104:E503112 E503140:E503148 E503176:E503184 E503212:E503220 E503248:E503256 E503284:E503292 E503320:E503328 E503356:E503364 E503392:E503400 E503428:E503436 E503464:E503472 E503500:E503508 E503536:E503544 E503572:E503580 E503608:E503616 E503644:E503652 E503680:E503688 E503716:E503724 E503752:E503760 E503788:E503796 E503824:E503832 E503860:E503868 E503896:E503904 E503932:E503940 E503968:E503976 E504004:E504012 E504040:E504048 E504076:E504084 E504112:E504120 E504148:E504156 E504184:E504192 E504220:E504228 E504256:E504264 E504292:E504300 E504328:E504336 E504364:E504372 E504400:E504408 E504436:E504444 E504472:E504480 E504508:E504516 E504544:E504552 E504580:E504588 E504616:E504624 E504652:E504660 E504688:E504696 E504724:E504732 E504760:E504768 E504796:E504804 E504832:E504840 E504868:E504876 E504904:E504912 E504940:E504948 E504976:E504984 E505012:E505020 E505048:E505056 E505084:E505092 E505120:E505128 E505156:E505164 E505192:E505200 E505228:E505236 E505264:E505272 E505300:E505308 E505336:E505344 E505372:E505380 E505408:E505416 E505444:E505452 E505480:E505488 E505516:E505524 E505552:E505560 E505588:E505596 E505624:E505632 E505660:E505668 E505696:E505704 E505732:E505740 E505768:E505776 E505804:E505812 E505840:E505848 E505876:E505884 E505912:E505920 E505948:E505956 E505984:E505992 E506020:E506028 E506056:E506064 E506092:E506100 E506128:E506136 E506164:E506172 E506200:E506208 E506236:E506244 E506272:E506280 E506308:E506316 E506344:E506352 E506380:E506388 E506416:E506424 E506452:E506460 E506488:E506496 E506524:E506532 E506560:E506568 E506596:E506604 E506632:E506640 E506668:E506676 E506704:E506712 E506740:E506748 E506776:E506784 E506812:E506820 E506848:E506856 E506884:E506892 E506920:E506928 E506956:E506964 E506992:E507000 E507028:E507036 E507064:E507072 E507100:E507108 E507136:E507144 E507172:E507180 E507208:E507216 E507244:E507252 E507280:E507288 E507316:E507324 E507352:E507360 E507388:E507396 E507424:E507432 E507460:E507468 E507496:E507504 E507532:E507540 E507568:E507576 E507604:E507612 E507640:E507648 E507676:E507684 E507712:E507720 E507748:E507756 E507784:E507792 E507820:E507828 E507856:E507864 E507892:E507900 E507928:E507936 E507964:E507972 E508000:E508008 E508036:E508044 E508072:E508080 E508108:E508116 E508144:E508152 E508180:E508188 E508216:E508224 E508252:E508260 E508288:E508296 E508324:E508332 E508360:E508368 E508396:E508404 E508432:E508440 E508468:E508476 E508504:E508512 E508540:E508548 E508576:E508584 E508612:E508620 E508648:E508656 E508684:E508692 E508720:E508728 E508756:E508764 E508792:E508800 E508828:E508836 E508864:E508872 E508900:E508908 E508936:E508944 E508972:E508980 E509008:E509016 E509044:E509052 E509080:E509088 E509116:E509124 E509152:E509160 E509188:E509196 E509224:E509232 E509260:E509268 E509296:E509304 E509332:E509340 E509368:E509376 E509404:E509412 E509440:E509448 E509476:E509484 E509512:E509520 E509548:E509556 E509584:E509592 E509620:E509628 E509656:E509664 E509692:E509700 E509728:E509736 E509764:E509772 E509800:E509808 E509836:E509844 E509872:E509880 E509908:E509916 E509944:E509952 E509980:E509988 E510016:E510024 E510052:E510060 E510088:E510096 E510124:E510132 E510160:E510168 E510196:E510204 E510232:E510240 E510268:E510276 E510304:E510312 E510340:E510348 E510376:E510384 E510412:E510420 E510448:E510456 E510484:E510492 E510520:E510528 E510556:E510564 E510592:E510600 E510628:E510636 E510664:E510672 E510700:E510708 E510736:E510744 E510772:E510780 E510808:E510816 E510844:E510852 E510880:E510888 E510916:E510924 E510952:E510960 E510988:E510996 E511024:E511032 E511060:E511068 E511096:E511104 E511132:E511140 E511168:E511176 E511204:E511212 E511240:E511248 E511276:E511284 E511312:E511320 E511348:E511356 E511384:E511392 E511420:E511428 E511456:E511464 E511492:E511500 E511528:E511536 E511564:E511572 E511600:E511608 E511636:E511644 E511672:E511680 E511708:E511716 E511744:E511752 E511780:E511788 E511816:E511824 E511852:E511860 E511888:E511896 E511924:E511932 E511960:E511968 E511996:E512004 E512032:E512040 E512068:E512076 E512104:E512112 E512140:E512148 E512176:E512184 E512212:E512220 E512248:E512256 E512284:E512292 E512320:E512328 E512356:E512364 E512392:E512400 E512428:E512436 E512464:E512472 E512500:E512508 E512536:E512544 E512572:E512580 E512608:E512616 E512644:E512652 E512680:E512688 E512716:E512724 E512752:E512760 E512788:E512796 E512824:E512832 E512860:E512868 E512896:E512904 E512932:E512940 E512968:E512976 E513004:E513012 E513040:E513048 E513076:E513084 E513112:E513120 E513148:E513156 E513184:E513192 E513220:E513228 E513256:E513264 E513292:E513300 E513328:E513336 E513364:E513372 E513400:E513408 E513436:E513444 E513472:E513480 E513508:E513516 E513544:E513552 E513580:E513588 E513616:E513624 E513652:E513660 E513688:E513696 E513724:E513732 E513760:E513768 E513796:E513804 E513832:E513840 E513868:E513876 E513904:E513912 E513940:E513948 E513976:E513984 E514012:E514020 E514048:E514056 E514084:E514092 E514120:E514128 E514156:E514164 E514192:E514200 E514228:E514236 E514264:E514272 E514300:E514308 E514336:E514344 E514372:E514380 E514408:E514416 E514444:E514452 E514480:E514488 E514516:E514524 E514552:E514560 E514588:E514596 E514624:E514632 E514660:E514668 E514696:E514704 E514732:E514740 E514768:E514776 E514804:E514812 E514840:E514848 E514876:E514884 E514912:E514920 E514948:E514956 E514984:E514992 E515020:E515028 E515056:E515064 E515092:E515100 E515128:E515136 E515164:E515172 E515200:E515208 E515236:E515244 E515272:E515280 E515308:E515316 E515344:E515352 E515380:E515388 E515416:E515424 E515452:E515460 E515488:E515496 E515524:E515532 E515560:E515568 E515596:E515604 E515632:E515640 E515668:E515676 E515704:E515712 E515740:E515748 E515776:E515784 E515812:E515820 E515848:E515856 E515884:E515892 E515920:E515928 E515956:E515964 E515992:E516000 E516028:E516036 E516064:E516072 E516100:E516108 E516136:E516144 E516172:E516180 E516208:E516216 E516244:E516252 E516280:E516288 E516316:E516324 E516352:E516360 E516388:E516396 E516424:E516432 E516460:E516468 E516496:E516504 E516532:E516540 E516568:E516576 E516604:E516612 E516640:E516648 E516676:E516684 E516712:E516720 E516748:E516756 E516784:E516792 E516820:E516828 E516856:E516864 E516892:E516900 E516928:E516936 E516964:E516972 E517000:E517008 E517036:E517044 E517072:E517080 E517108:E517116 E517144:E517152 E517180:E517188 E517216:E517224 E517252:E517260 E517288:E517296 E517324:E517332 E517360:E517368 E517396:E517404 E517432:E517440 E517468:E517476 E517504:E517512 E517540:E517548 E517576:E517584 E517612:E517620 E517648:E517656 E517684:E517692 E517720:E517728 E517756:E517764 E517792:E517800 E517828:E517836 E517864:E517872 E517900:E517908 E517936:E517944 E517972:E517980 E518008:E518016 E518044:E518052 E518080:E518088 E518116:E518124 E518152:E518160 E518188:E518196 E518224:E518232 E518260:E518268 E518296:E518304 E518332:E518340 E518368:E518376 E518404:E518412 E518440:E518448 E518476:E518484 E518512:E518520 E518548:E518556 E518584:E518592 E518620:E518628 E518656:E518664 E518692:E518700 E518728:E518736 E518764:E518772 E518800:E518808 E518836:E518844 E518872:E518880 E518908:E518916 E518944:E518952 E518980:E518988 E519016:E519024 E519052:E519060 E519088:E519096 E519124:E519132 E519160:E519168 E519196:E519204 E519232:E519240 E519268:E519276 E519304:E519312 E519340:E519348 E519376:E519384 E519412:E519420 E519448:E519456 E519484:E519492 E519520:E519528 E519556:E519564 E519592:E519600 E519628:E519636 E519664:E519672 E519700:E519708 E519736:E519744 E519772:E519780 E519808:E519816 E519844:E519852 E519880:E519888 E519916:E519924 E519952:E519960 E519988:E519996 E520024:E520032 E520060:E520068 E520096:E520104 E520132:E520140 E520168:E520176 E520204:E520212 E520240:E520248 E520276:E520284 E520312:E520320 E520348:E520356 E520384:E520392 E520420:E520428 E520456:E520464 E520492:E520500 E520528:E520536 E520564:E520572 E520600:E520608 E520636:E520644 E520672:E520680 E520708:E520716 E520744:E520752 E520780:E520788 E520816:E520824 E520852:E520860 E520888:E520896 E520924:E520932 E520960:E520968 E520996:E521004 E521032:E521040 E521068:E521076 E521104:E521112 E521140:E521148 E521176:E521184 E521212:E521220 E521248:E521256 E521284:E521292 E521320:E521328 E521356:E521364 E521392:E521400 E521428:E521436 E521464:E521472 E521500:E521508 E521536:E521544 E521572:E521580 E521608:E521616 E521644:E521652 E521680:E521688 E521716:E521724 E521752:E521760 E521788:E521796 E521824:E521832 E521860:E521868 E521896:E521904 E521932:E521940 E521968:E521976 E522004:E522012 E522040:E522048 E522076:E522084 E522112:E522120 E522148:E522156 E522184:E522192 E522220:E522228 E522256:E522264 E522292:E522300 E522328:E522336 E522364:E522372 E522400:E522408 E522436:E522444 E522472:E522480 E522508:E522516 E522544:E522552 E522580:E522588 E522616:E522624 E522652:E522660 E522688:E522696 E522724:E522732 E522760:E522768 E522796:E522804 E522832:E522840 E522868:E522876 E522904:E522912 E522940:E522948 E522976:E522984 E523012:E523020 E523048:E523056 E523084:E523092 E523120:E523128 E523156:E523164 E523192:E523200 E523228:E523236 E523264:E523272 E523300:E523308 E523336:E523344 E523372:E523380 E523408:E523416 E523444:E523452 E523480:E523488 E523516:E523524 E523552:E523560 E523588:E523596 E523624:E523632 E523660:E523668 E523696:E523704 E523732:E523740 E523768:E523776 E523804:E523812 E523840:E523848 E523876:E523884 E523912:E523920 E523948:E523956 E523984:E523992 E524020:E524028 E524056:E524064 E524092:E524100 E524128:E524136 E524164:E524172 E524200:E524208 E524236:E524244 E524272:E524280 E524308:E524316 E524344:E524352 E524380:E524388 E524416:E524424 E524452:E524460 E524488:E524496 E524524:E524532 E524560:E524568 E524596:E524604 E524632:E524640 E524668:E524676 E524704:E524712 E524740:E524748 E524776:E524784 E524812:E524820 E524848:E524856 E524884:E524892 E524920:E524928 E524956:E524964 E524992:E525000 E525028:E525036 E525064:E525072 E525100:E525108 E525136:E525144 E525172:E525180 E525208:E525216 E525244:E525252 E525280:E525288 E525316:E525324 E525352:E525360 E525388:E525396 E525424:E525432 E525460:E525468 E525496:E525504 E525532:E525540 E525568:E525576 E525604:E525612 E525640:E525648 E525676:E525684 E525712:E525720 E525748:E525756 E525784:E525792 E525820:E525828 E525856:E525864 E525892:E525900 E525928:E525936 E525964:E525972 E526000:E526008 E526036:E526044 E526072:E526080 E526108:E526116 E526144:E526152 E526180:E526188 E526216:E526224 E526252:E526260 E526288:E526296 E526324:E526332 E526360:E526368 E526396:E526404 E526432:E526440 E526468:E526476 E526504:E526512 E526540:E526548 E526576:E526584 E526612:E526620 E526648:E526656 E526684:E526692 E526720:E526728 E526756:E526764 E526792:E526800 E526828:E526836 E526864:E526872 E526900:E526908 E526936:E526944 E526972:E526980 E527008:E527016 E527044:E527052 E527080:E527088 E527116:E527124 E527152:E527160 E527188:E527196 E527224:E527232 E527260:E527268 E527296:E527304 E527332:E527340 E527368:E527376 E527404:E527412 E527440:E527448 E527476:E527484 E527512:E527520 E527548:E527556 E527584:E527592 E527620:E527628 E527656:E527664 E527692:E527700 E527728:E527736 E527764:E527772 E527800:E527808 E527836:E527844 E527872:E527880 E527908:E527916 E527944:E527952 E527980:E527988 E528016:E528024 E528052:E528060 E528088:E528096 E528124:E528132 E528160:E528168 E528196:E528204 E528232:E528240 E528268:E528276 E528304:E528312 E528340:E528348 E528376:E528384 E528412:E528420 E528448:E528456 E528484:E528492 E528520:E528528 E528556:E528564 E528592:E528600 E528628:E528636 E528664:E528672 E528700:E528708 E528736:E528744 E528772:E528780 E528808:E528816 E528844:E528852 E528880:E528888 E528916:E528924 E528952:E528960 E528988:E528996 E529024:E529032 E529060:E529068 E529096:E529104 E529132:E529140 E529168:E529176 E529204:E529212 E529240:E529248 E529276:E529284 E529312:E529320 E529348:E529356 E529384:E529392 E529420:E529428 E529456:E529464 E529492:E529500 E529528:E529536 E529564:E529572 E529600:E529608 E529636:E529644 E529672:E529680 E529708:E529716 E529744:E529752 E529780:E529788 E529816:E529824 E529852:E529860 E529888:E529896 E529924:E529932 E529960:E529968 E529996:E530004 E530032:E530040 E530068:E530076 E530104:E530112 E530140:E530148 E530176:E530184 E530212:E530220 E530248:E530256 E530284:E530292 E530320:E530328 E530356:E530364 E530392:E530400 E530428:E530436 E530464:E530472 E530500:E530508 E530536:E530544 E530572:E530580 E530608:E530616 E530644:E530652 E530680:E530688 E530716:E530724 E530752:E530760 E530788:E530796 E530824:E530832 E530860:E530868 E530896:E530904 E530932:E530940 E530968:E530976 E531004:E531012 E531040:E531048 E531076:E531084 E531112:E531120 E531148:E531156 E531184:E531192 E531220:E531228 E531256:E531264 E531292:E531300 E531328:E531336 E531364:E531372 E531400:E531408 E531436:E531444 E531472:E531480 E531508:E531516 E531544:E531552 E531580:E531588 E531616:E531624 E531652:E531660 E531688:E531696 E531724:E531732 E531760:E531768 E531796:E531804 E531832:E531840 E531868:E531876 E531904:E531912 E531940:E531948 E531976:E531984 E532012:E532020 E532048:E532056 E532084:E532092 E532120:E532128 E532156:E532164 E532192:E532200 E532228:E532236 E532264:E532272 E532300:E532308 E532336:E532344 E532372:E532380 E532408:E532416 E532444:E532452 E532480:E532488 E532516:E532524 E532552:E532560 E532588:E532596 E532624:E532632 E532660:E532668 E532696:E532704 E532732:E532740 E532768:E532776 E532804:E532812 E532840:E532848 E532876:E532884 E532912:E532920 E532948:E532956 E532984:E532992 E533020:E533028 E533056:E533064 E533092:E533100 E533128:E533136 E533164:E533172 E533200:E533208 E533236:E533244 E533272:E533280 E533308:E533316 E533344:E533352 E533380:E533388 E533416:E533424 E533452:E533460 E533488:E533496 E533524:E533532 E533560:E533568 E533596:E533604 E533632:E533640 E533668:E533676 E533704:E533712 E533740:E533748 E533776:E533784 E533812:E533820 E533848:E533856 E533884:E533892 E533920:E533928 E533956:E533964 E533992:E534000 E534028:E534036 E534064:E534072 E534100:E534108 E534136:E534144 E534172:E534180 E534208:E534216 E534244:E534252 E534280:E534288 E534316:E534324 E534352:E534360 E534388:E534396 E534424:E534432 E534460:E534468 E534496:E534504 E534532:E534540 E534568:E534576 E534604:E534612 E534640:E534648 E534676:E534684 E534712:E534720 E534748:E534756 E534784:E534792 E534820:E534828 E534856:E534864 E534892:E534900 E534928:E534936 E534964:E534972 E535000:E535008 E535036:E535044 E535072:E535080 E535108:E535116 E535144:E535152 E535180:E535188 E535216:E535224 E535252:E535260 E535288:E535296 E535324:E535332 E535360:E535368 E535396:E535404 E535432:E535440 E535468:E535476 E535504:E535512 E535540:E535548 E535576:E535584 E535612:E535620 E535648:E535656 E535684:E535692 E535720:E535728 E535756:E535764 E535792:E535800 E535828:E535836 E535864:E535872 E535900:E535908 E535936:E535944 E535972:E535980 E536008:E536016 E536044:E536052 E536080:E536088 E536116:E536124 E536152:E536160 E536188:E536196 E536224:E536232 E536260:E536268 E536296:E536304 E536332:E536340 E536368:E536376 E536404:E536412 E536440:E536448 E536476:E536484 E536512:E536520 E536548:E536556 E536584:E536592 E536620:E536628 E536656:E536664 E536692:E536700 E536728:E536736 E536764:E536772 E536800:E536808 E536836:E536844 E536872:E536880 E536908:E536916 E536944:E536952 E536980:E536988 E537016:E537024 E537052:E537060 E537088:E537096 E537124:E537132 E537160:E537168 E537196:E537204 E537232:E537240 E537268:E537276 E537304:E537312 E537340:E537348 E537376:E537384 E537412:E537420 E537448:E537456 E537484:E537492 E537520:E537528 E537556:E537564 E537592:E537600 E537628:E537636 E537664:E537672 E537700:E537708 E537736:E537744 E537772:E537780 E537808:E537816 E537844:E537852 E537880:E537888 E537916:E537924 E537952:E537960 E537988:E537996 E538024:E538032 E538060:E538068 E538096:E538104 E538132:E538140 E538168:E538176 E538204:E538212 E538240:E538248 E538276:E538284 E538312:E538320 E538348:E538356 E538384:E538392 E538420:E538428 E538456:E538464 E538492:E538500 E538528:E538536 E538564:E538572 E538600:E538608 E538636:E538644 E538672:E538680 E538708:E538716 E538744:E538752 E538780:E538788 E538816:E538824 E538852:E538860 E538888:E538896 E538924:E538932 E538960:E538968 E538996:E539004 E539032:E539040 E539068:E539076 E539104:E539112 E539140:E539148 E539176:E539184 E539212:E539220 E539248:E539256 E539284:E539292 E539320:E539328 E539356:E539364 E539392:E539400 E539428:E539436 E539464:E539472 E539500:E539508 E539536:E539544 E539572:E539580 E539608:E539616 E539644:E539652 E539680:E539688 E539716:E539724 E539752:E539760 E539788:E539796 E539824:E539832 E539860:E539868 E539896:E539904 E539932:E539940 E539968:E539976 E540004:E540012 E540040:E540048 E540076:E540084 E540112:E540120 E540148:E540156 E540184:E540192 E540220:E540228 E540256:E540264 E540292:E540300 E540328:E540336 E540364:E540372 E540400:E540408 E540436:E540444 E540472:E540480 E540508:E540516 E540544:E540552 E540580:E540588 E540616:E540624 E540652:E540660 E540688:E540696 E540724:E540732 E540760:E540768 E540796:E540804 E540832:E540840 E540868:E540876 E540904:E540912 E540940:E540948 E540976:E540984 E541012:E541020 E541048:E541056 E541084:E541092 E541120:E541128 E541156:E541164 E541192:E541200 E541228:E541236 E541264:E541272 E541300:E541308 E541336:E541344 E541372:E541380 E541408:E541416 E541444:E541452 E541480:E541488 E541516:E541524 E541552:E541560 E541588:E541596 E541624:E541632 E541660:E541668 E541696:E541704 E541732:E541740 E541768:E541776 E541804:E541812 E541840:E541848 E541876:E541884 E541912:E541920 E541948:E541956 E541984:E541992 E542020:E542028 E542056:E542064 E542092:E542100 E542128:E542136 E542164:E542172 E542200:E542208 E542236:E542244 E542272:E542280 E542308:E542316 E542344:E542352 E542380:E542388 E542416:E542424 E542452:E542460 E542488:E542496 E542524:E542532 E542560:E542568 E542596:E542604 E542632:E542640 E542668:E542676 E542704:E542712 E542740:E542748 E542776:E542784 E542812:E542820 E542848:E542856 E542884:E542892 E542920:E542928 E542956:E542964 E542992:E543000 E543028:E543036 E543064:E543072 E543100:E543108 E543136:E543144 E543172:E543180 E543208:E543216 E543244:E543252 E543280:E543288 E543316:E543324 E543352:E543360 E543388:E543396 E543424:E543432 E543460:E543468 E543496:E543504 E543532:E543540 E543568:E543576 E543604:E543612 E543640:E543648 E543676:E543684 E543712:E543720 E543748:E543756 E543784:E543792 E543820:E543828 E543856:E543864 E543892:E543900 E543928:E543936 E543964:E543972 E544000:E544008 E544036:E544044 E544072:E544080 E544108:E544116 E544144:E544152 E544180:E544188 E544216:E544224 E544252:E544260 E544288:E544296 E544324:E544332 E544360:E544368 E544396:E544404 E544432:E544440 E544468:E544476 E544504:E544512 E544540:E544548 E544576:E544584 E544612:E544620 E544648:E544656 E544684:E544692 E544720:E544728 E544756:E544764 E544792:E544800 E544828:E544836 E544864:E544872 E544900:E544908 E544936:E544944 E544972:E544980 E545008:E545016 E545044:E545052 E545080:E545088 E545116:E545124 E545152:E545160 E545188:E545196 E545224:E545232 E545260:E545268 E545296:E545304 E545332:E545340 E545368:E545376 E545404:E545412 E545440:E545448 E545476:E545484 E545512:E545520 E545548:E545556 E545584:E545592 E545620:E545628 E545656:E545664 E545692:E545700 E545728:E545736 E545764:E545772 E545800:E545808 E545836:E545844 E545872:E545880 E545908:E545916 E545944:E545952 E545980:E545988 E546016:E546024 E546052:E546060 E546088:E546096 E546124:E546132 E546160:E546168 E546196:E546204 E546232:E546240 E546268:E546276 E546304:E546312 E546340:E546348 E546376:E546384 E546412:E546420 E546448:E546456 E546484:E546492 E546520:E546528 E546556:E546564 E546592:E546600 E546628:E546636 E546664:E546672 E546700:E546708 E546736:E546744 E546772:E546780 E546808:E546816 E546844:E546852 E546880:E546888 E546916:E546924 E546952:E546960 E546988:E546996 E547024:E547032 E547060:E547068 E547096:E547104 E547132:E547140 E547168:E547176 E547204:E547212 E547240:E547248 E547276:E547284 E547312:E547320 E547348:E547356 E547384:E547392 E547420:E547428 E547456:E547464 E547492:E547500 E547528:E547536 E547564:E547572 E547600:E547608 E547636:E547644 E547672:E547680 E547708:E547716 E547744:E547752 E547780:E547788 E547816:E547824 E547852:E547860 E547888:E547896 E547924:E547932 E547960:E547968 E547996:E548004 E548032:E548040 E548068:E548076 E548104:E548112 E548140:E548148 E548176:E548184 E548212:E548220 E548248:E548256 E548284:E548292 E548320:E548328 E548356:E548364 E548392:E548400 E548428:E548436 E548464:E548472 E548500:E548508 E548536:E548544 E548572:E548580 E548608:E548616 E548644:E548652 E548680:E548688 E548716:E548724 E548752:E548760 E548788:E548796 E548824:E548832 E548860:E548868 E548896:E548904 E548932:E548940 E548968:E548976 E549004:E549012 E549040:E549048 E549076:E549084 E549112:E549120 E549148:E549156 E549184:E549192 E549220:E549228 E549256:E549264 E549292:E549300 E549328:E549336 E549364:E549372 E549400:E549408 E549436:E549444 E549472:E549480 E549508:E549516 E549544:E549552 E549580:E549588 E549616:E549624 E549652:E549660 E549688:E549696 E549724:E549732 E549760:E549768 E549796:E549804 E549832:E549840 E549868:E549876 E549904:E549912 E549940:E549948 E549976:E549984 E550012:E550020 E550048:E550056 E550084:E550092 E550120:E550128 E550156:E550164 E550192:E550200 E550228:E550236 E550264:E550272 E550300:E550308 E550336:E550344 E550372:E550380 E550408:E550416 E550444:E550452 E550480:E550488 E550516:E550524 E550552:E550560 E550588:E550596 E550624:E550632 E550660:E550668 E550696:E550704 E550732:E550740 E550768:E550776 E550804:E550812 E550840:E550848 E550876:E550884 E550912:E550920 E550948:E550956 E550984:E550992 E551020:E551028 E551056:E551064 E551092:E551100 E551128:E551136 E551164:E551172 E551200:E551208 E551236:E551244 E551272:E551280 E551308:E551316 E551344:E551352 E551380:E551388 E551416:E551424 E551452:E551460 E551488:E551496 E551524:E551532 E551560:E551568 E551596:E551604 E551632:E551640 E551668:E551676 E551704:E551712 E551740:E551748 E551776:E551784 E551812:E551820 E551848:E551856 E551884:E551892 E551920:E551928 E551956:E551964 E551992:E552000 E552028:E552036 E552064:E552072 E552100:E552108 E552136:E552144 E552172:E552180 E552208:E552216 E552244:E552252 E552280:E552288 E552316:E552324 E552352:E552360 E552388:E552396 E552424:E552432 E552460:E552468 E552496:E552504 E552532:E552540 E552568:E552576 E552604:E552612 E552640:E552648 E552676:E552684 E552712:E552720 E552748:E552756 E552784:E552792 E552820:E552828 E552856:E552864 E552892:E552900 E552928:E552936 E552964:E552972 E553000:E553008 E553036:E553044 E553072:E553080 E553108:E553116 E553144:E553152 E553180:E553188 E553216:E553224 E553252:E553260 E553288:E553296 E553324:E553332 E553360:E553368 E553396:E553404 E553432:E553440 E553468:E553476 E553504:E553512 E553540:E553548 E553576:E553584 E553612:E553620 E553648:E553656 E553684:E553692 E553720:E553728 E553756:E553764 E553792:E553800 E553828:E553836 E553864:E553872 E553900:E553908 E553936:E553944 E553972:E553980 E554008:E554016 E554044:E554052 E554080:E554088 E554116:E554124 E554152:E554160 E554188:E554196 E554224:E554232 E554260:E554268 E554296:E554304 E554332:E554340 E554368:E554376 E554404:E554412 E554440:E554448 E554476:E554484 E554512:E554520 E554548:E554556 E554584:E554592 E554620:E554628 E554656:E554664 E554692:E554700 E554728:E554736 E554764:E554772 E554800:E554808 E554836:E554844 E554872:E554880 E554908:E554916 E554944:E554952 E554980:E554988 E555016:E555024 E555052:E555060 E555088:E555096 E555124:E555132 E555160:E555168 E555196:E555204 E555232:E555240 E555268:E555276 E555304:E555312 E555340:E555348 E555376:E555384 E555412:E555420 E555448:E555456 E555484:E555492 E555520:E555528 E555556:E555564 E555592:E555600 E555628:E555636 E555664:E555672 E555700:E555708 E555736:E555744 E555772:E555780 E555808:E555816 E555844:E555852 E555880:E555888 E555916:E555924 E555952:E555960 E555988:E555996 E556024:E556032 E556060:E556068 E556096:E556104 E556132:E556140 E556168:E556176 E556204:E556212 E556240:E556248 E556276:E556284 E556312:E556320 E556348:E556356 E556384:E556392 E556420:E556428 E556456:E556464 E556492:E556500 E556528:E556536 E556564:E556572 E556600:E556608 E556636:E556644 E556672:E556680 E556708:E556716 E556744:E556752 E556780:E556788 E556816:E556824 E556852:E556860 E556888:E556896 E556924:E556932 E556960:E556968 E556996:E557004 E557032:E557040 E557068:E557076 E557104:E557112 E557140:E557148 E557176:E557184 E557212:E557220 E557248:E557256 E557284:E557292 E557320:E557328 E557356:E557364 E557392:E557400 E557428:E557436 E557464:E557472 E557500:E557508 E557536:E557544 E557572:E557580 E557608:E557616 E557644:E557652 E557680:E557688 E557716:E557724 E557752:E557760 E557788:E557796 E557824:E557832 E557860:E557868 E557896:E557904 E557932:E557940 E557968:E557976 E558004:E558012 E558040:E558048 E558076:E558084 E558112:E558120 E558148:E558156 E558184:E558192 E558220:E558228 E558256:E558264 E558292:E558300 E558328:E558336 E558364:E558372 E558400:E558408 E558436:E558444 E558472:E558480 E558508:E558516 E558544:E558552 E558580:E558588 E558616:E558624 E558652:E558660 E558688:E558696 E558724:E558732 E558760:E558768 E558796:E558804 E558832:E558840 E558868:E558876 E558904:E558912 E558940:E558948 E558976:E558984 E559012:E559020 E559048:E559056 E559084:E559092 E559120:E559128 E559156:E559164 E559192:E559200 E559228:E559236 E559264:E559272 E559300:E559308 E559336:E559344 E559372:E559380 E559408:E559416 E559444:E559452 E559480:E559488 E559516:E559524 E559552:E559560 E559588:E559596 E559624:E559632 E559660:E559668 E559696:E559704 E559732:E559740 E559768:E559776 E559804:E559812 E559840:E559848 E559876:E559884 E559912:E559920 E559948:E559956 E559984:E559992 E560020:E560028 E560056:E560064 E560092:E560100 E560128:E560136 E560164:E560172 E560200:E560208 E560236:E560244 E560272:E560280 E560308:E560316 E560344:E560352 E560380:E560388 E560416:E560424 E560452:E560460 E560488:E560496 E560524:E560532 E560560:E560568 E560596:E560604 E560632:E560640 E560668:E560676 E560704:E560712 E560740:E560748 E560776:E560784 E560812:E560820 E560848:E560856 E560884:E560892 E560920:E560928 E560956:E560964 E560992:E561000 E561028:E561036 E561064:E561072 E561100:E561108 E561136:E561144 E561172:E561180 E561208:E561216 E561244:E561252 E561280:E561288 E561316:E561324 E561352:E561360 E561388:E561396 E561424:E561432 E561460:E561468 E561496:E561504 E561532:E561540 E561568:E561576 E561604:E561612 E561640:E561648 E561676:E561684 E561712:E561720 E561748:E561756 E561784:E561792 E561820:E561828 E561856:E561864 E561892:E561900 E561928:E561936 E561964:E561972 E562000:E562008 E562036:E562044 E562072:E562080 E562108:E562116 E562144:E562152 E562180:E562188 E562216:E562224 E562252:E562260 E562288:E562296 E562324:E562332 E562360:E562368 E562396:E562404 E562432:E562440 E562468:E562476 E562504:E562512 E562540:E562548 E562576:E562584 E562612:E562620 E562648:E562656 E562684:E562692 E562720:E562728 E562756:E562764 E562792:E562800 E562828:E562836 E562864:E562872 E562900:E562908 E562936:E562944 E562972:E562980 E563008:E563016 E563044:E563052 E563080:E563088 E563116:E563124 E563152:E563160 E563188:E563196 E563224:E563232 E563260:E563268 E563296:E563304 E563332:E563340 E563368:E563376 E563404:E563412 E563440:E563448 E563476:E563484 E563512:E563520 E563548:E563556 E563584:E563592 E563620:E563628 E563656:E563664 E563692:E563700 E563728:E563736 E563764:E563772 E563800:E563808 E563836:E563844 E563872:E563880 E563908:E563916 E563944:E563952 E563980:E563988 E564016:E564024 E564052:E564060 E564088:E564096 E564124:E564132 E564160:E564168 E564196:E564204 E564232:E564240 E564268:E564276 E564304:E564312 E564340:E564348 E564376:E564384 E564412:E564420 E564448:E564456 E564484:E564492 E564520:E564528 E564556:E564564 E564592:E564600 E564628:E564636 E564664:E564672 E564700:E564708 E564736:E564744 E564772:E564780 E564808:E564816 E564844:E564852 E564880:E564888 E564916:E564924 E564952:E564960 E564988:E564996 E565024:E565032 E565060:E565068 E565096:E565104 E565132:E565140 E565168:E565176 E565204:E565212 E565240:E565248 E565276:E565284 E565312:E565320 E565348:E565356 E565384:E565392 E565420:E565428 E565456:E565464 E565492:E565500 E565528:E565536 E565564:E565572 E565600:E565608 E565636:E565644 E565672:E565680 E565708:E565716 E565744:E565752 E565780:E565788 E565816:E565824 E565852:E565860 E565888:E565896 E565924:E565932 E565960:E565968 E565996:E566004 E566032:E566040 E566068:E566076 E566104:E566112 E566140:E566148 E566176:E566184 E566212:E566220 E566248:E566256 E566284:E566292 E566320:E566328 E566356:E566364 E566392:E566400 E566428:E566436 E566464:E566472 E566500:E566508 E566536:E566544 E566572:E566580 E566608:E566616 E566644:E566652 E566680:E566688 E566716:E566724 E566752:E566760 E566788:E566796 E566824:E566832 E566860:E566868 E566896:E566904 E566932:E566940 E566968:E566976 E567004:E567012 E567040:E567048 E567076:E567084 E567112:E567120 E567148:E567156 E567184:E567192 E567220:E567228 E567256:E567264 E567292:E567300 E567328:E567336 E567364:E567372 E567400:E567408 E567436:E567444 E567472:E567480 E567508:E567516 E567544:E567552 E567580:E567588 E567616:E567624 E567652:E567660 E567688:E567696 E567724:E567732 E567760:E567768 E567796:E567804 E567832:E567840 E567868:E567876 E567904:E567912 E567940:E567948 E567976:E567984 E568012:E568020 E568048:E568056 E568084:E568092 E568120:E568128 E568156:E568164 E568192:E568200 E568228:E568236 E568264:E568272 E568300:E568308 E568336:E568344 E568372:E568380 E568408:E568416 E568444:E568452 E568480:E568488 E568516:E568524 E568552:E568560 E568588:E568596 E568624:E568632 E568660:E568668 E568696:E568704 E568732:E568740 E568768:E568776 E568804:E568812 E568840:E568848 E568876:E568884 E568912:E568920 E568948:E568956 E568984:E568992 E569020:E569028 E569056:E569064 E569092:E569100 E569128:E569136 E569164:E569172 E569200:E569208 E569236:E569244 E569272:E569280 E569308:E569316 E569344:E569352 E569380:E569388 E569416:E569424 E569452:E569460 E569488:E569496 E569524:E569532 E569560:E569568 E569596:E569604 E569632:E569640 E569668:E569676 E569704:E569712 E569740:E569748 E569776:E569784 E569812:E569820 E569848:E569856 E569884:E569892 E569920:E569928 E569956:E569964 E569992:E570000 E570028:E570036 E570064:E570072 E570100:E570108 E570136:E570144 E570172:E570180 E570208:E570216 E570244:E570252 E570280:E570288 E570316:E570324 E570352:E570360 E570388:E570396 E570424:E570432 E570460:E570468 E570496:E570504 E570532:E570540 E570568:E570576 E570604:E570612 E570640:E570648 E570676:E570684 E570712:E570720 E570748:E570756 E570784:E570792 E570820:E570828 E570856:E570864 E570892:E570900 E570928:E570936 E570964:E570972 E571000:E571008 E571036:E571044 E571072:E571080 E571108:E571116 E571144:E571152 E571180:E571188 E571216:E571224 E571252:E571260 E571288:E571296 E571324:E571332 E571360:E571368 E571396:E571404 E571432:E571440 E571468:E571476 E571504:E571512 E571540:E571548 E571576:E571584 E571612:E571620 E571648:E571656 E571684:E571692 E571720:E571728 E571756:E571764 E571792:E571800 E571828:E571836 E571864:E571872 E571900:E571908 E571936:E571944 E571972:E571980 E572008:E572016 E572044:E572052 E572080:E572088 E572116:E572124 E572152:E572160 E572188:E572196 E572224:E572232 E572260:E572268 E572296:E572304 E572332:E572340 E572368:E572376 E572404:E572412 E572440:E572448 E572476:E572484 E572512:E572520 E572548:E572556 E572584:E572592 E572620:E572628 E572656:E572664 E572692:E572700 E572728:E572736 E572764:E572772 E572800:E572808 E572836:E572844 E572872:E572880 E572908:E572916 E572944:E572952 E572980:E572988 E573016:E573024 E573052:E573060 E573088:E573096 E573124:E573132 E573160:E573168 E573196:E573204 E573232:E573240 E573268:E573276 E573304:E573312 E573340:E573348 E573376:E573384 E573412:E573420 E573448:E573456 E573484:E573492 E573520:E573528 E573556:E573564 E573592:E573600 E573628:E573636 E573664:E573672 E573700:E573708 E573736:E573744 E573772:E573780 E573808:E573816 E573844:E573852 E573880:E573888 E573916:E573924 E573952:E573960 E573988:E573996 E574024:E574032 E574060:E574068 E574096:E574104 E574132:E574140 E574168:E574176 E574204:E574212 E574240:E574248 E574276:E574284 E574312:E574320 E574348:E574356 E574384:E574392 E574420:E574428 E574456:E574464 E574492:E574500 E574528:E574536 E574564:E574572 E574600:E574608 E574636:E574644 E574672:E574680 E574708:E574716 E574744:E574752 E574780:E574788 E574816:E574824 E574852:E574860 E574888:E574896 E574924:E574932 E574960:E574968 E574996:E575004 E575032:E575040 E575068:E575076 E575104:E575112 E575140:E575148 E575176:E575184 E575212:E575220 E575248:E575256 E575284:E575292 E575320:E575328 E575356:E575364 E575392:E575400 E575428:E575436 E575464:E575472 E575500:E575508 E575536:E575544 E575572:E575580 E575608:E575616 E575644:E575652 E575680:E575688 E575716:E575724 E575752:E575760 E575788:E575796 E575824:E575832 E575860:E575868 E575896:E575904 E575932:E575940 E575968:E575976 E576004:E576012 E576040:E576048 E576076:E576084 E576112:E576120 E576148:E576156 E576184:E576192 E576220:E576228 E576256:E576264 E576292:E576300 E576328:E576336 E576364:E576372 E576400:E576408 E576436:E576444 E576472:E576480 E576508:E576516 E576544:E576552 E576580:E576588 E576616:E576624 E576652:E576660 E576688:E576696 E576724:E576732 E576760:E576768 E576796:E576804 E576832:E576840 E576868:E576876 E576904:E576912 E576940:E576948 E576976:E576984 E577012:E577020 E577048:E577056 E577084:E577092 E577120:E577128 E577156:E577164 E577192:E577200 E577228:E577236 E577264:E577272 E577300:E577308 E577336:E577344 E577372:E577380 E577408:E577416 E577444:E577452 E577480:E577488 E577516:E577524 E577552:E577560 E577588:E577596 E577624:E577632 E577660:E577668 E577696:E577704 E577732:E577740 E577768:E577776 E577804:E577812 E577840:E577848 E577876:E577884 E577912:E577920 E577948:E577956 E577984:E577992 E578020:E578028 E578056:E578064 E578092:E578100 E578128:E578136 E578164:E578172 E578200:E578208 E578236:E578244 E578272:E578280 E578308:E578316 E578344:E578352 E578380:E578388 E578416:E578424 E578452:E578460 E578488:E578496 E578524:E578532 E578560:E578568 E578596:E578604 E578632:E578640 E578668:E578676 E578704:E578712 E578740:E578748 E578776:E578784 E578812:E578820 E578848:E578856 E578884:E578892 E578920:E578928 E578956:E578964 E578992:E579000 E579028:E579036 E579064:E579072 E579100:E579108 E579136:E579144 E579172:E579180 E579208:E579216 E579244:E579252 E579280:E579288 E579316:E579324 E579352:E579360 E579388:E579396 E579424:E579432 E579460:E579468 E579496:E579504 E579532:E579540 E579568:E579576 E579604:E579612 E579640:E579648 E579676:E579684 E579712:E579720 E579748:E579756 E579784:E579792 E579820:E579828 E579856:E579864 E579892:E579900 E579928:E579936 E579964:E579972 E580000:E580008 E580036:E580044 E580072:E580080 E580108:E580116 E580144:E580152 E580180:E580188 E580216:E580224 E580252:E580260 E580288:E580296 E580324:E580332 E580360:E580368 E580396:E580404 E580432:E580440 E580468:E580476 E580504:E580512 E580540:E580548 E580576:E580584 E580612:E580620 E580648:E580656 E580684:E580692 E580720:E580728 E580756:E580764 E580792:E580800 E580828:E580836 E580864:E580872 E580900:E580908 E580936:E580944 E580972:E580980 E581008:E581016 E581044:E581052 E581080:E581088 E581116:E581124 E581152:E581160 E581188:E581196 E581224:E581232 E581260:E581268 E581296:E581304 E581332:E581340 E581368:E581376 E581404:E581412 E581440:E581448 E581476:E581484 E581512:E581520 E581548:E581556 E581584:E581592 E581620:E581628 E581656:E581664 E581692:E581700 E581728:E581736 E581764:E581772 E581800:E581808 E581836:E581844 E581872:E581880 E581908:E581916 E581944:E581952 E581980:E581988 E582016:E582024 E582052:E582060 E582088:E582096 E582124:E582132 E582160:E582168 E582196:E582204 E582232:E582240 E582268:E582276 E582304:E582312 E582340:E582348 E582376:E582384 E582412:E582420 E582448:E582456 E582484:E582492 E582520:E582528 E582556:E582564 E582592:E582600 E582628:E582636 E582664:E582672 E582700:E582708 E582736:E582744 E582772:E582780 E582808:E582816 E582844:E582852 E582880:E582888 E582916:E582924 E582952:E582960 E582988:E582996 E583024:E583032 E583060:E583068 E583096:E583104 E583132:E583140 E583168:E583176 E583204:E583212 E583240:E583248 E583276:E583284 E583312:E583320 E583348:E583356 E583384:E583392 E583420:E583428 E583456:E583464 E583492:E583500 E583528:E583536 E583564:E583572 E583600:E583608 E583636:E583644 E583672:E583680 E583708:E583716 E583744:E583752 E583780:E583788 E583816:E583824 E583852:E583860 E583888:E583896 E583924:E583932 E583960:E583968 E583996:E584004 E584032:E584040 E584068:E584076 E584104:E584112 E584140:E584148 E584176:E584184 E584212:E584220 E584248:E584256 E584284:E584292 E584320:E584328 E584356:E584364 E584392:E584400 E584428:E584436 E584464:E584472 E584500:E584508 E584536:E584544 E584572:E584580 E584608:E584616 E584644:E584652 E584680:E584688 E584716:E584724 E584752:E584760 E584788:E584796 E584824:E584832 E584860:E584868 E584896:E584904 E584932:E584940 E584968:E584976 E585004:E585012 E585040:E585048 E585076:E585084 E585112:E585120 E585148:E585156 E585184:E585192 E585220:E585228 E585256:E585264 E585292:E585300 E585328:E585336 E585364:E585372 E585400:E585408 E585436:E585444 E585472:E585480 E585508:E585516 E585544:E585552 E585580:E585588 E585616:E585624 E585652:E585660 E585688:E585696 E585724:E585732 E585760:E585768 E585796:E585804 E585832:E585840 E585868:E585876 E585904:E585912 E585940:E585948 E585976:E585984 E586012:E586020 E586048:E586056 E586084:E586092 E586120:E586128 E586156:E586164 E586192:E586200 E586228:E586236 E586264:E586272 E586300:E586308 E586336:E586344 E586372:E586380 E586408:E586416 E586444:E586452 E586480:E586488 E586516:E586524 E586552:E586560 E586588:E586596 E586624:E586632 E586660:E586668 E586696:E586704 E586732:E586740 E586768:E586776 E586804:E586812 E586840:E586848 E586876:E586884 E586912:E586920 E586948:E586956 E586984:E586992 E587020:E587028 E587056:E587064 E587092:E587100 E587128:E587136 E587164:E587172 E587200:E587208 E587236:E587244 E587272:E587280 E587308:E587316 E587344:E587352 E587380:E587388 E587416:E587424 E587452:E587460 E587488:E587496 E587524:E587532 E587560:E587568 E587596:E587604 E587632:E587640 E587668:E587676 E587704:E587712 E587740:E587748 E587776:E587784 E587812:E587820 E587848:E587856 E587884:E587892 E587920:E587928 E587956:E587964 E587992:E588000 E588028:E588036 E588064:E588072 E588100:E588108 E588136:E588144 E588172:E588180 E588208:E588216 E588244:E588252 E588280:E588288 E588316:E588324 E588352:E588360 E588388:E588396 E588424:E588432 E588460:E588468 E588496:E588504 E588532:E588540 E588568:E588576 E588604:E588612 E588640:E588648 E588676:E588684 E588712:E588720 E588748:E588756 E588784:E588792 E588820:E588828 E588856:E588864 E588892:E588900 E588928:E588936 E588964:E588972 E589000:E589008 E589036:E589044 E589072:E589080 E589108:E589116 E589144:E589152 E589180:E589188 E589216:E589224 E589252:E589260 E589288:E589296 E589324:E589332 E589360:E589368 E589396:E589404 E589432:E589440 E589468:E589476 E589504:E589512 E589540:E589548 E589576:E589584 E589612:E589620 E589648:E589656 E589684:E589692 E589720:E589728 E589756:E589764 E589792:E589800 E589828:E589836 E589864:E589872 E589900:E589908 E589936:E589944 E589972:E589980 E590008:E590016 E590044:E590052 E590080:E590088 E590116:E590124 E590152:E590160 E590188:E590196 E590224:E590232 E590260:E590268 E590296:E590304 E590332:E590340 E590368:E590376 E590404:E590412 E590440:E590448 E590476:E590484 E590512:E590520 E590548:E590556 E590584:E590592 E590620:E590628 E590656:E590664 E590692:E590700 E590728:E590736 E590764:E590772 E590800:E590808 E590836:E590844 E590872:E590880 E590908:E590916 E590944:E590952 E590980:E590988 E591016:E591024 E591052:E591060 E591088:E591096 E591124:E591132 E591160:E591168 E591196:E591204 E591232:E591240 E591268:E591276 E591304:E591312 E591340:E591348 E591376:E591384 E591412:E591420 E591448:E591456 E591484:E591492 E591520:E591528 E591556:E591564 E591592:E591600 E591628:E591636 E591664:E591672 E591700:E591708 E591736:E591744 E591772:E591780 E591808:E591816 E591844:E591852 E591880:E591888 E591916:E591924 E591952:E591960 E591988:E591996 E592024:E592032 E592060:E592068 E592096:E592104 E592132:E592140 E592168:E592176 E592204:E592212 E592240:E592248 E592276:E592284 E592312:E592320 E592348:E592356 E592384:E592392 E592420:E592428 E592456:E592464 E592492:E592500 E592528:E592536 E592564:E592572 E592600:E592608 E592636:E592644 E592672:E592680 E592708:E592716 E592744:E592752 E592780:E592788 E592816:E592824 E592852:E592860 E592888:E592896 E592924:E592932 E592960:E592968 E592996:E593004 E593032:E593040 E593068:E593076 E593104:E593112 E593140:E593148 E593176:E593184 E593212:E593220 E593248:E593256 E593284:E593292 E593320:E593328 E593356:E593364 E593392:E593400 E593428:E593436 E593464:E593472 E593500:E593508 E593536:E593544 E593572:E593580 E593608:E593616 E593644:E593652 E593680:E593688 E593716:E593724 E593752:E593760 E593788:E593796 E593824:E593832 E593860:E593868 E593896:E593904 E593932:E593940 E593968:E593976 E594004:E594012 E594040:E594048 E594076:E594084 E594112:E594120 E594148:E594156 E594184:E594192 E594220:E594228 E594256:E594264 E594292:E594300 E594328:E594336 E594364:E594372 E594400:E594408 E594436:E594444 E594472:E594480 E594508:E594516 E594544:E594552 E594580:E594588 E594616:E594624 E594652:E594660 E594688:E594696 E594724:E594732 E594760:E594768 E594796:E594804 E594832:E594840 E594868:E594876 E594904:E594912 E594940:E594948 E594976:E594984 E595012:E595020 E595048:E595056 E595084:E595092 E595120:E595128 E595156:E595164 E595192:E595200 E595228:E595236 E595264:E595272 E595300:E595308 E595336:E595344 E595372:E595380 E595408:E595416 E595444:E595452 E595480:E595488 E595516:E595524 E595552:E595560 E595588:E595596 E595624:E595632 E595660:E595668 E595696:E595704 E595732:E595740 E595768:E595776 E595804:E595812 E595840:E595848 E595876:E595884 E595912:E595920 E595948:E595956 E595984:E595992 E596020:E596028 E596056:E596064 E596092:E596100 E596128:E596136 E596164:E596172 E596200:E596208 E596236:E596244 E596272:E596280 E596308:E596316 E596344:E596352 E596380:E596388 E596416:E596424 E596452:E596460 E596488:E596496 E596524:E596532 E596560:E596568 E596596:E596604 E596632:E596640 E596668:E596676 E596704:E596712 E596740:E596748 E596776:E596784 E596812:E596820 E596848:E596856 E596884:E596892 E596920:E596928 E596956:E596964 E596992:E597000 E597028:E597036 E597064:E597072 E597100:E597108 E597136:E597144 E597172:E597180 E597208:E597216 E597244:E597252 E597280:E597288 E597316:E597324 E597352:E597360 E597388:E597396 E597424:E597432 E597460:E597468 E597496:E597504 E597532:E597540 E597568:E597576 E597604:E597612 E597640:E597648 E597676:E597684 E597712:E597720 E597748:E597756 E597784:E597792 E597820:E597828 E597856:E597864 E597892:E597900 E597928:E597936 E597964:E597972 E598000:E598008 E598036:E598044 E598072:E598080 E598108:E598116 E598144:E598152 E598180:E598188 E598216:E598224 E598252:E598260 E598288:E598296 E598324:E598332 E598360:E598368 E598396:E598404 E598432:E598440 E598468:E598476 E598504:E598512 E598540:E598548 E598576:E598584 E598612:E598620 E598648:E598656 E598684:E598692 E598720:E598728 E598756:E598764 E598792:E598800 E598828:E598836 E598864:E598872 E598900:E598908 E598936:E598944 E598972:E598980 E599008:E599016 E599044:E599052 E599080:E599088 E599116:E599124 E599152:E599160 E599188:E599196 E599224:E599232 E599260:E599268 E599296:E599304 E599332:E599340 E599368:E599376 E599404:E599412 E599440:E599448 E599476:E599484 E599512:E599520 E599548:E599556 E599584:E599592 E599620:E599628 E599656:E599664 E599692:E599700 E599728:E599736 E599764:E599772 E599800:E599808 E599836:E599844 E599872:E599880 E599908:E599916 E599944:E599952 E599980:E599988 E600016:E600024 E600052:E600060 E600088:E600096 E600124:E600132 E600160:E600168 E600196:E600204 E600232:E600240 E600268:E600276 E600304:E600312 E600340:E600348 E600376:E600384 E600412:E600420 E600448:E600456 E600484:E600492 E600520:E600528 E600556:E600564 E600592:E600600 E600628:E600636 E600664:E600672 E600700:E600708 E600736:E600744 E600772:E600780 E600808:E600816 E600844:E600852 E600880:E600888 E600916:E600924 E600952:E600960 E600988:E600996 E601024:E601032 E601060:E601068 E601096:E601104 E601132:E601140 E601168:E601176 E601204:E601212 E601240:E601248 E601276:E601284 E601312:E601320 E601348:E601356 E601384:E601392 E601420:E601428 E601456:E601464 E601492:E601500 E601528:E601536 E601564:E601572 E601600:E601608 E601636:E601644 E601672:E601680 E601708:E601716 E601744:E601752 E601780:E601788 E601816:E601824 E601852:E601860 E601888:E601896 E601924:E601932 E601960:E601968 E601996:E602004 E602032:E602040 E602068:E602076 E602104:E602112 E602140:E602148 E602176:E602184 E602212:E602220 E602248:E602256 E602284:E602292 E602320:E602328 E602356:E602364 E602392:E602400 E602428:E602436 E602464:E602472 E602500:E602508 E602536:E602544 E602572:E602580 E602608:E602616 E602644:E602652 E602680:E602688 E602716:E602724 E602752:E602760 E602788:E602796 E602824:E602832 E602860:E602868 E602896:E602904 E602932:E602940 E602968:E602976 E603004:E603012 E603040:E603048 E603076:E603084 E603112:E603120 E603148:E603156 E603184:E603192 E603220:E603228 E603256:E603264 E603292:E603300 E603328:E603336 E603364:E603372 E603400:E603408 E603436:E603444 E603472:E603480 E603508:E603516 E603544:E603552 E603580:E603588 E603616:E603624 E603652:E603660 E603688:E603696 E603724:E603732 E603760:E603768 E603796:E603804 E603832:E603840 E603868:E603876 E603904:E603912 E603940:E603948 E603976:E603984 E604012:E604020 E604048:E604056 E604084:E604092 E604120:E604128 E604156:E604164 E604192:E604200 E604228:E604236 E604264:E604272 E604300:E604308 E604336:E604344 E604372:E604380 E604408:E604416 E604444:E604452 E604480:E604488 E604516:E604524 E604552:E604560 E604588:E604596 E604624:E604632 E604660:E604668 E604696:E604704 E604732:E604740 E604768:E604776 E604804:E604812 E604840:E604848 E604876:E604884 E604912:E604920 E604948:E604956 E604984:E604992 E605020:E605028 E605056:E605064 E605092:E605100 E605128:E605136 E605164:E605172 E605200:E605208 E605236:E605244 E605272:E605280 E605308:E605316 E605344:E605352 E605380:E605388 E605416:E605424 E605452:E605460 E605488:E605496 E605524:E605532 E605560:E605568 E605596:E605604 E605632:E605640 E605668:E605676 E605704:E605712 E605740:E605748 E605776:E605784 E605812:E605820 E605848:E605856 E605884:E605892 E605920:E605928 E605956:E605964 E605992:E606000 E606028:E606036 E606064:E606072 E606100:E606108 E606136:E606144 E606172:E606180 E606208:E606216 E606244:E606252 E606280:E606288 E606316:E606324 E606352:E606360 E606388:E606396 E606424:E606432 E606460:E606468 E606496:E606504 E606532:E606540 E606568:E606576 E606604:E606612 E606640:E606648 E606676:E606684 E606712:E606720 E606748:E606756 E606784:E606792 E606820:E606828 E606856:E606864 E606892:E606900 E606928:E606936 E606964:E606972 E607000:E607008 E607036:E607044 E607072:E607080 E607108:E607116 E607144:E607152 E607180:E607188 E607216:E607224 E607252:E607260 E607288:E607296 E607324:E607332 E607360:E607368 E607396:E607404 E607432:E607440 E607468:E607476 E607504:E607512 E607540:E607548 E607576:E607584 E607612:E607620 E607648:E607656 E607684:E607692 E607720:E607728 E607756:E607764 E607792:E607800 E607828:E607836 E607864:E607872 E607900:E607908 E607936:E607944 E607972:E607980 E608008:E608016 E608044:E608052 E608080:E608088 E608116:E608124 E608152:E608160 E608188:E608196 E608224:E608232 E608260:E608268 E608296:E608304 E608332:E608340 E608368:E608376 E608404:E608412 E608440:E608448 E608476:E608484 E608512:E608520 E608548:E608556 E608584:E608592 E608620:E608628 E608656:E608664 E608692:E608700 E608728:E608736 E608764:E608772 E608800:E608808 E608836:E608844 E608872:E608880 E608908:E608916 E608944:E608952 E608980:E608988 E609016:E609024 E609052:E609060 E609088:E609096 E609124:E609132 E609160:E609168 E609196:E609204 E609232:E609240 E609268:E609276 E609304:E609312 E609340:E609348 E609376:E609384 E609412:E609420 E609448:E609456 E609484:E609492 E609520:E609528 E609556:E609564 E609592:E609600 E609628:E609636 E609664:E609672 E609700:E609708 E609736:E609744 E609772:E609780 E609808:E609816 E609844:E609852 E609880:E609888 E609916:E609924 E609952:E609960 E609988:E609996 E610024:E610032 E610060:E610068 E610096:E610104 E610132:E610140 E610168:E610176 E610204:E610212 E610240:E610248 E610276:E610284 E610312:E610320 E610348:E610356 E610384:E610392 E610420:E610428 E610456:E610464 E610492:E610500 E610528:E610536 E610564:E610572 E610600:E610608 E610636:E610644 E610672:E610680 E610708:E610716 E610744:E610752 E610780:E610788 E610816:E610824 E610852:E610860 E610888:E610896 E610924:E610932 E610960:E610968 E610996:E611004 E611032:E611040 E611068:E611076 E611104:E611112 E611140:E611148 E611176:E611184 E611212:E611220 E611248:E611256 E611284:E611292 E611320:E611328 E611356:E611364 E611392:E611400 E611428:E611436 E611464:E611472 E611500:E611508 E611536:E611544 E611572:E611580 E611608:E611616 E611644:E611652 E611680:E611688 E611716:E611724 E611752:E611760 E611788:E611796 E611824:E611832 E611860:E611868 E611896:E611904 E611932:E611940 E611968:E611976 E612004:E612012 E612040:E612048 E612076:E612084 E612112:E612120 E612148:E612156 E612184:E612192 E612220:E612228 E612256:E612264 E612292:E612300 E612328:E612336 E612364:E612372 E612400:E612408 E612436:E612444 E612472:E612480 E612508:E612516 E612544:E612552 E612580:E612588 E612616:E612624 E612652:E612660 E612688:E612696 E612724:E612732 E612760:E612768 E612796:E612804 E612832:E612840 E612868:E612876 E612904:E612912 E612940:E612948 E612976:E612984 E613012:E613020 E613048:E613056 E613084:E613092 E613120:E613128 E613156:E613164 E613192:E613200 E613228:E613236 E613264:E613272 E613300:E613308 E613336:E613344 E613372:E613380 E613408:E613416 E613444:E613452 E613480:E613488 E613516:E613524 E613552:E613560 E613588:E613596 E613624:E613632 E613660:E613668 E613696:E613704 E613732:E613740 E613768:E613776 E613804:E613812 E613840:E613848 E613876:E613884 E613912:E613920 E613948:E613956 E613984:E613992 E614020:E614028 E614056:E614064 E614092:E614100 E614128:E614136 E614164:E614172 E614200:E614208 E614236:E614244 E614272:E614280 E614308:E614316 E614344:E614352 E614380:E614388 E614416:E614424 E614452:E614460 E614488:E614496 E614524:E614532 E614560:E614568 E614596:E614604 E614632:E614640 E614668:E614676 E614704:E614712 E614740:E614748 E614776:E614784 E614812:E614820 E614848:E614856 E614884:E614892 E614920:E614928 E614956:E614964 E614992:E615000 E615028:E615036 E615064:E615072 E615100:E615108 E615136:E615144 E615172:E615180 E615208:E615216 E615244:E615252 E615280:E615288 E615316:E615324 E615352:E615360 E615388:E615396 E615424:E615432 E615460:E615468 E615496:E615504 E615532:E615540 E615568:E615576 E615604:E615612 E615640:E615648 E615676:E615684 E615712:E615720 E615748:E615756 E615784:E615792 E615820:E615828 E615856:E615864 E615892:E615900 E615928:E615936 E615964:E615972 E616000:E616008 E616036:E616044 E616072:E616080 E616108:E616116 E616144:E616152 E616180:E616188 E616216:E616224 E616252:E616260 E616288:E616296 E616324:E616332 E616360:E616368 E616396:E616404 E616432:E616440 E616468:E616476 E616504:E616512 E616540:E616548 E616576:E616584 E616612:E616620 E616648:E616656 E616684:E616692 E616720:E616728 E616756:E616764 E616792:E616800 E616828:E616836 E616864:E616872 E616900:E616908 E616936:E616944 E616972:E616980 E617008:E617016 E617044:E617052 E617080:E617088 E617116:E617124 E617152:E617160 E617188:E617196 E617224:E617232 E617260:E617268 E617296:E617304 E617332:E617340 E617368:E617376 E617404:E617412 E617440:E617448 E617476:E617484 E617512:E617520 E617548:E617556 E617584:E617592 E617620:E617628 E617656:E617664 E617692:E617700 E617728:E617736 E617764:E617772 E617800:E617808 E617836:E617844 E617872:E617880 E617908:E617916 E617944:E617952 E617980:E617988 E618016:E618024 E618052:E618060 E618088:E618096 E618124:E618132 E618160:E618168 E618196:E618204 E618232:E618240 E618268:E618276 E618304:E618312 E618340:E618348 E618376:E618384 E618412:E618420 E618448:E618456 E618484:E618492 E618520:E618528 E618556:E618564 E618592:E618600 E618628:E618636 E618664:E618672 E618700:E618708 E618736:E618744 E618772:E618780 E618808:E618816 E618844:E618852 E618880:E618888 E618916:E618924 E618952:E618960 E618988:E618996 E619024:E619032 E619060:E619068 E619096:E619104 E619132:E619140 E619168:E619176 E619204:E619212 E619240:E619248 E619276:E619284 E619312:E619320 E619348:E619356 E619384:E619392 E619420:E619428 E619456:E619464 E619492:E619500 E619528:E619536 E619564:E619572 E619600:E619608 E619636:E619644 E619672:E619680 E619708:E619716 E619744:E619752 E619780:E619788 E619816:E619824 E619852:E619860 E619888:E619896 E619924:E619932 E619960:E619968 E619996:E620004 E620032:E620040 E620068:E620076 E620104:E620112 E620140:E620148 E620176:E620184 E620212:E620220 E620248:E620256 E620284:E620292 E620320:E620328 E620356:E620364 E620392:E620400 E620428:E620436 E620464:E620472 E620500:E620508 E620536:E620544 E620572:E620580 E620608:E620616 E620644:E620652 E620680:E620688 E620716:E620724 E620752:E620760 E620788:E620796 E620824:E620832 E620860:E620868 E620896:E620904 E620932:E620940 E620968:E620976 E621004:E621012 E621040:E621048 E621076:E621084 E621112:E621120 E621148:E621156 E621184:E621192 E621220:E621228 E621256:E621264 E621292:E621300 E621328:E621336 E621364:E621372 E621400:E621408 E621436:E621444 E621472:E621480 E621508:E621516 E621544:E621552 E621580:E621588 E621616:E621624 E621652:E621660 E621688:E621696 E621724:E621732 E621760:E621768 E621796:E621804 E621832:E621840 E621868:E621876 E621904:E621912 E621940:E621948 E621976:E621984 E622012:E622020 E622048:E622056 E622084:E622092 E622120:E622128 E622156:E622164 E622192:E622200 E622228:E622236 E622264:E622272 E622300:E622308 E622336:E622344 E622372:E622380 E622408:E622416 E622444:E622452 E622480:E622488 E622516:E622524 E622552:E622560 E622588:E622596 E622624:E622632 E622660:E622668 E622696:E622704 E622732:E622740 E622768:E622776 E622804:E622812 E622840:E622848 E622876:E622884 E622912:E622920 E622948:E622956 E622984:E622992 E623020:E623028 E623056:E623064 E623092:E623100 E623128:E623136 E623164:E623172 E623200:E623208 E623236:E623244 E623272:E623280 E623308:E623316 E623344:E623352 E623380:E623388 E623416:E623424 E623452:E623460 E623488:E623496 E623524:E623532 E623560:E623568 E623596:E623604 E623632:E623640 E623668:E623676 E623704:E623712 E623740:E623748 E623776:E623784 E623812:E623820 E623848:E623856 E623884:E623892 E623920:E623928 E623956:E623964 E623992:E624000 E624028:E624036 E624064:E624072 E624100:E624108 E624136:E624144 E624172:E624180 E624208:E624216 E624244:E624252 E624280:E624288 E624316:E624324 E624352:E624360 E624388:E624396 E624424:E624432 E624460:E624468 E624496:E624504 E624532:E624540 E624568:E624576 E624604:E624612 E624640:E624648 E624676:E624684 E624712:E624720 E624748:E624756 E624784:E624792 E624820:E624828 E624856:E624864 E624892:E624900 E624928:E624936 E624964:E624972 E625000:E625008 E625036:E625044 E625072:E625080 E625108:E625116 E625144:E625152 E625180:E625188 E625216:E625224 E625252:E625260 E625288:E625296 E625324:E625332 E625360:E625368 E625396:E625404 E625432:E625440 E625468:E625476 E625504:E625512 E625540:E625548 E625576:E625584 E625612:E625620 E625648:E625656 E625684:E625692 E625720:E625728 E625756:E625764 E625792:E625800 E625828:E625836 E625864:E625872 E625900:E625908 E625936:E625944 E625972:E625980 E626008:E626016 E626044:E626052 E626080:E626088 E626116:E626124 E626152:E626160 E626188:E626196 E626224:E626232 E626260:E626268 E626296:E626304 E626332:E626340 E626368:E626376 E626404:E626412 E626440:E626448 E626476:E626484 E626512:E626520 E626548:E626556 E626584:E626592 E626620:E626628 E626656:E626664 E626692:E626700 E626728:E626736 E626764:E626772 E626800:E626808 E626836:E626844 E626872:E626880 E626908:E626916 E626944:E626952 E626980:E626988 E627016:E627024 E627052:E627060 E627088:E627096 E627124:E627132 E627160:E627168 E627196:E627204 E627232:E627240 E627268:E627276 E627304:E627312 E627340:E627348 E627376:E627384 E627412:E627420 E627448:E627456 E627484:E627492 E627520:E627528 E627556:E627564 E627592:E627600 E627628:E627636 E627664:E627672 E627700:E627708 E627736:E627744 E627772:E627780 E627808:E627816 E627844:E627852 E627880:E627888 E627916:E627924 E627952:E627960 E627988:E627996 E628024:E628032 E628060:E628068 E628096:E628104 E628132:E628140 E628168:E628176 E628204:E628212 E628240:E628248 E628276:E628284 E628312:E628320 E628348:E628356 E628384:E628392 E628420:E628428 E628456:E628464 E628492:E628500 E628528:E628536 E628564:E628572 E628600:E628608 E628636:E628644 E628672:E628680 E628708:E628716 E628744:E628752 E628780:E628788 E628816:E628824 E628852:E628860 E628888:E628896 E628924:E628932 E628960:E628968 E628996:E629004 E629032:E629040 E629068:E629076 E629104:E629112 E629140:E629148 E629176:E629184 E629212:E629220 E629248:E629256 E629284:E629292 E629320:E629328 E629356:E629364 E629392:E629400 E629428:E629436 E629464:E629472 E629500:E629508 E629536:E629544 E629572:E629580 E629608:E629616 E629644:E629652 E629680:E629688 E629716:E629724 E629752:E629760 E629788:E629796 E629824:E629832 E629860:E629868 E629896:E629904 E629932:E629940 E629968:E629976 E630004:E630012 E630040:E630048 E630076:E630084 E630112:E630120 E630148:E630156 E630184:E630192 E630220:E630228 E630256:E630264 E630292:E630300 E630328:E630336 E630364:E630372 E630400:E630408 E630436:E630444 E630472:E630480 E630508:E630516 E630544:E630552 E630580:E630588 E630616:E630624 E630652:E630660 E630688:E630696 E630724:E630732 E630760:E630768 E630796:E630804 E630832:E630840 E630868:E630876 E630904:E630912 E630940:E630948 E630976:E630984 E631012:E631020 E631048:E631056 E631084:E631092 E631120:E631128 E631156:E631164 E631192:E631200 E631228:E631236 E631264:E631272 E631300:E631308 E631336:E631344 E631372:E631380 E631408:E631416 E631444:E631452 E631480:E631488 E631516:E631524 E631552:E631560 E631588:E631596 E631624:E631632 E631660:E631668 E631696:E631704 E631732:E631740 E631768:E631776 E631804:E631812 E631840:E631848 E631876:E631884 E631912:E631920 E631948:E631956 E631984:E631992 E632020:E632028 E632056:E632064 E632092:E632100 E632128:E632136 E632164:E632172 E632200:E632208 E632236:E632244 E632272:E632280 E632308:E632316 E632344:E632352 E632380:E632388 E632416:E632424 E632452:E632460 E632488:E632496 E632524:E632532 E632560:E632568 E632596:E632604 E632632:E632640 E632668:E632676 E632704:E632712 E632740:E632748 E632776:E632784 E632812:E632820 E632848:E632856 E632884:E632892 E632920:E632928 E632956:E632964 E632992:E633000 E633028:E633036 E633064:E633072 E633100:E633108 E633136:E633144 E633172:E633180 E633208:E633216 E633244:E633252 E633280:E633288 E633316:E633324 E633352:E633360 E633388:E633396 E633424:E633432 E633460:E633468 E633496:E633504 E633532:E633540 E633568:E633576 E633604:E633612 E633640:E633648 E633676:E633684 E633712:E633720 E633748:E633756 E633784:E633792 E633820:E633828 E633856:E633864 E633892:E633900 E633928:E633936 E633964:E633972 E634000:E634008 E634036:E634044 E634072:E634080 E634108:E634116 E634144:E634152 E634180:E634188 E634216:E634224 E634252:E634260 E634288:E634296 E634324:E634332 E634360:E634368 E634396:E634404 E634432:E634440 E634468:E634476 E634504:E634512 E634540:E634548 E634576:E634584 E634612:E634620 E634648:E634656 E634684:E634692 E634720:E634728 E634756:E634764 E634792:E634800 E634828:E634836 E634864:E634872 E634900:E634908 E634936:E634944 E634972:E634980 E635008:E635016 E635044:E635052 E635080:E635088 E635116:E635124 E635152:E635160 E635188:E635196 E635224:E635232 E635260:E635268 E635296:E635304 E635332:E635340 E635368:E635376 E635404:E635412 E635440:E635448 E635476:E635484 E635512:E635520 E635548:E635556 E635584:E635592 E635620:E635628 E635656:E635664 E635692:E635700 E635728:E635736 E635764:E635772 E635800:E635808 E635836:E635844 E635872:E635880 E635908:E635916 E635944:E635952 E635980:E635988 E636016:E636024 E636052:E636060 E636088:E636096 E636124:E636132 E636160:E636168 E636196:E636204 E636232:E636240 E636268:E636276 E636304:E636312 E636340:E636348 E636376:E636384 E636412:E636420 E636448:E636456 E636484:E636492 E636520:E636528 E636556:E636564 E636592:E636600 E636628:E636636 E636664:E636672 E636700:E636708 E636736:E636744 E636772:E636780 E636808:E636816 E636844:E636852 E636880:E636888 E636916:E636924 E636952:E636960 E636988:E636996 E637024:E637032 E637060:E637068 E637096:E637104 E637132:E637140 E637168:E637176 E637204:E637212 E637240:E637248 E637276:E637284 E637312:E637320 E637348:E637356 E637384:E637392 E637420:E637428 E637456:E637464 E637492:E637500 E637528:E637536 E637564:E637572 E637600:E637608 E637636:E637644 E637672:E637680 E637708:E637716 E637744:E637752 E637780:E637788 E637816:E637824 E637852:E637860 E637888:E637896 E637924:E637932 E637960:E637968 E637996:E638004 E638032:E638040 E638068:E638076 E638104:E638112 E638140:E638148 E638176:E638184 E638212:E638220 E638248:E638256 E638284:E638292 E638320:E638328 E638356:E638364 E638392:E638400 E638428:E638436 E638464:E638472 E638500:E638508 E638536:E638544 E638572:E638580 E638608:E638616 E638644:E638652 E638680:E638688 E638716:E638724 E638752:E638760 E638788:E638796 E638824:E638832 E638860:E638868 E638896:E638904 E638932:E638940 E638968:E638976 E639004:E639012 E639040:E639048 E639076:E639084 E639112:E639120 E639148:E639156 E639184:E639192 E639220:E639228 E639256:E639264 E639292:E639300 E639328:E639336 E639364:E639372 E639400:E639408 E639436:E639444 E639472:E639480 E639508:E639516 E639544:E639552 E639580:E639588 E639616:E639624 E639652:E639660 E639688:E639696 E639724:E639732 E639760:E639768 E639796:E639804 E639832:E639840 E639868:E639876 E639904:E639912 E639940:E639948 E639976:E639984 E640012:E640020 E640048:E640056 E640084:E640092 E640120:E640128 E640156:E640164 E640192:E640200 E640228:E640236 E640264:E640272 E640300:E640308 E640336:E640344 E640372:E640380 E640408:E640416 E640444:E640452 E640480:E640488 E640516:E640524 E640552:E640560 E640588:E640596 E640624:E640632 E640660:E640668 E640696:E640704 E640732:E640740 E640768:E640776 E640804:E640812 E640840:E640848 E640876:E640884 E640912:E640920 E640948:E640956 E640984:E640992 E641020:E641028 E641056:E641064 E641092:E641100 E641128:E641136 E641164:E641172 E641200:E641208 E641236:E641244 E641272:E641280 E641308:E641316 E641344:E641352 E641380:E641388 E641416:E641424 E641452:E641460 E641488:E641496 E641524:E641532 E641560:E641568 E641596:E641604 E641632:E641640 E641668:E641676 E641704:E641712 E641740:E641748 E641776:E641784 E641812:E641820 E641848:E641856 E641884:E641892 E641920:E641928 E641956:E641964 E641992:E642000 E642028:E642036 E642064:E642072 E642100:E642108 E642136:E642144 E642172:E642180 E642208:E642216 E642244:E642252 E642280:E642288 E642316:E642324 E642352:E642360 E642388:E642396 E642424:E642432 E642460:E642468 E642496:E642504 E642532:E642540 E642568:E642576 E642604:E642612 E642640:E642648 E642676:E642684 E642712:E642720 E642748:E642756 E642784:E642792 E642820:E642828 E642856:E642864 E642892:E642900 E642928:E642936 E642964:E642972 E643000:E643008 E643036:E643044 E643072:E643080 E643108:E643116 E643144:E643152 E643180:E643188 E643216:E643224 E643252:E643260 E643288:E643296 E643324:E643332 E643360:E643368 E643396:E643404 E643432:E643440 E643468:E643476 E643504:E643512 E643540:E643548 E643576:E643584 E643612:E643620 E643648:E643656 E643684:E643692 E643720:E643728 E643756:E643764 E643792:E643800 E643828:E643836 E643864:E643872 E643900:E643908 E643936:E643944 E643972:E643980 E644008:E644016 E644044:E644052 E644080:E644088 E644116:E644124 E644152:E644160 E644188:E644196 E644224:E644232 E644260:E644268 E644296:E644304 E644332:E644340 E644368:E644376 E644404:E644412 E644440:E644448 E644476:E644484 E644512:E644520 E644548:E644556 E644584:E644592 E644620:E644628 E644656:E644664 E644692:E644700 E644728:E644736 E644764:E644772 E644800:E644808 E644836:E644844 E644872:E644880 E644908:E644916 E644944:E644952 E644980:E644988 E645016:E645024 E645052:E645060 E645088:E645096 E645124:E645132 E645160:E645168 E645196:E645204 E645232:E645240 E645268:E645276 E645304:E645312 E645340:E645348 E645376:E645384 E645412:E645420 E645448:E645456 E645484:E645492 E645520:E645528 E645556:E645564 E645592:E645600 E645628:E645636 E645664:E645672 E645700:E645708 E645736:E645744 E645772:E645780 E645808:E645816 E645844:E645852 E645880:E645888 E645916:E645924 E645952:E645960 E645988:E645996 E646024:E646032 E646060:E646068 E646096:E646104 E646132:E646140 E646168:E646176 E646204:E646212 E646240:E646248 E646276:E646284 E646312:E646320 E646348:E646356 E646384:E646392 E646420:E646428 E646456:E646464 E646492:E646500 E646528:E646536 E646564:E646572 E646600:E646608 E646636:E646644 E646672:E646680 E646708:E646716 E646744:E646752 E646780:E646788 E646816:E646824 E646852:E646860 E646888:E646896 E646924:E646932 E646960:E646968 E646996:E647004 E647032:E647040 E647068:E647076 E647104:E647112 E647140:E647148 E647176:E647184 E647212:E647220 E647248:E647256 E647284:E647292 E647320:E647328 E647356:E647364 E647392:E647400 E647428:E647436 E647464:E647472 E647500:E647508 E647536:E647544 E647572:E647580 E647608:E647616 E647644:E647652 E647680:E647688 E647716:E647724 E647752:E647760 E647788:E647796 E647824:E647832 E647860:E647868 E647896:E647904 E647932:E647940 E647968:E647976 E648004:E648012 E648040:E648048 E648076:E648084 E648112:E648120 E648148:E648156 E648184:E648192 E648220:E648228 E648256:E648264 E648292:E648300 E648328:E648336 E648364:E648372 E648400:E648408 E648436:E648444 E648472:E648480 E648508:E648516 E648544:E648552 E648580:E648588 E648616:E648624 E648652:E648660 E648688:E648696 E648724:E648732 E648760:E648768 E648796:E648804 E648832:E648840 E648868:E648876 E648904:E648912 E648940:E648948 E648976:E648984 E649012:E649020 E649048:E649056 E649084:E649092 E649120:E649128 E649156:E649164 E649192:E649200 E649228:E649236 E649264:E649272 E649300:E649308 E649336:E649344 E649372:E649380 E649408:E649416 E649444:E649452 E649480:E649488 E649516:E649524 E649552:E649560 E649588:E649596 E649624:E649632 E649660:E649668 E649696:E649704 E649732:E649740 E649768:E649776 E649804:E649812 E649840:E649848 E649876:E649884 E649912:E649920 E649948:E649956 E649984:E649992 E650020:E650028 E650056:E650064 E650092:E650100 E650128:E650136 E650164:E650172 E650200:E650208 E650236:E650244 E650272:E650280 E650308:E650316 E650344:E650352 E650380:E650388 E650416:E650424 E650452:E650460 E650488:E650496 E650524:E650532 E650560:E650568 E650596:E650604 E650632:E650640 E650668:E650676 E650704:E650712 E650740:E650748 E650776:E650784 E650812:E650820 E650848:E650856 E650884:E650892 E650920:E650928 E650956:E650964 E650992:E651000 E651028:E651036 E651064:E651072 E651100:E651108 E651136:E651144 E651172:E651180 E651208:E651216 E651244:E651252 E651280:E651288 E651316:E651324 E651352:E651360 E651388:E651396 E651424:E651432 E651460:E651468 E651496:E651504 E651532:E651540 E651568:E651576 E651604:E651612 E651640:E651648 E651676:E651684 E651712:E651720 E651748:E651756 E651784:E651792 E651820:E651828 E651856:E651864 E651892:E651900 E651928:E651936 E651964:E651972 E652000:E652008 E652036:E652044 E652072:E652080 E652108:E652116 E652144:E652152 E652180:E652188 E652216:E652224 E652252:E652260 E652288:E652296 E652324:E652332 E652360:E652368 E652396:E652404 E652432:E652440 E652468:E652476 E652504:E652512 E652540:E652548 E652576:E652584 E652612:E652620 E652648:E652656 E652684:E652692 E652720:E652728 E652756:E652764 E652792:E652800 E652828:E652836 E652864:E652872 E652900:E652908 E652936:E652944 E652972:E652980 E653008:E653016 E653044:E653052 E653080:E653088 E653116:E653124 E653152:E653160 E653188:E653196 E653224:E653232 E653260:E653268 E653296:E653304 E653332:E653340 E653368:E653376 E653404:E653412 E653440:E653448 E653476:E653484 E653512:E653520 E653548:E653556 E653584:E653592 E653620:E653628 E653656:E653664 E653692:E653700 E653728:E653736 E653764:E653772 E653800:E653808 E653836:E653844 E653872:E653880 E653908:E653916 E653944:E653952 E653980:E653988 E654016:E654024 E654052:E654060 E654088:E654096 E654124:E654132 E654160:E654168 E654196:E654204 E654232:E654240 E654268:E654276 E654304:E654312 E654340:E654348 E654376:E654384 E654412:E654420 E654448:E654456 E654484:E654492 E654520:E654528 E654556:E654564 E654592:E654600 E654628:E654636 E654664:E654672 E654700:E654708 E654736:E654744 E654772:E654780 E654808:E654816 E654844:E654852 E654880:E654888 E654916:E654924 E654952:E654960 E654988:E654996 E655024:E655032 E655060:E655068 E655096:E655104 E655132:E655140 E655168:E655176 E655204:E655212 E655240:E655248 E655276:E655284 E655312:E655320 E655348:E655356 E655384:E655392 E655420:E655428 E655456:E655464 E655492:E655500 E655528:E655536 E655564:E655572 E655600:E655608 E655636:E655644 E655672:E655680 E655708:E655716 E655744:E655752 E655780:E655788 E655816:E655824 E655852:E655860 E655888:E655896 E655924:E655932 E655960:E655968 E655996:E656004 E656032:E656040 E656068:E656076 E656104:E656112 E656140:E656148 E656176:E656184 E656212:E656220 E656248:E656256 E656284:E656292 E656320:E656328 E656356:E656364 E656392:E656400 E656428:E656436 E656464:E656472 E656500:E656508 E656536:E656544 E656572:E656580 E656608:E656616 E656644:E656652 E656680:E656688 E656716:E656724 E656752:E656760 E656788:E656796 E656824:E656832 E656860:E656868 E656896:E656904 E656932:E656940 E656968:E656976 E657004:E657012 E657040:E657048 E657076:E657084 E657112:E657120 E657148:E657156 E657184:E657192 E657220:E657228 E657256:E657264 E657292:E657300 E657328:E657336 E657364:E657372 E657400:E657408 E657436:E657444 E657472:E657480 E657508:E657516 E657544:E657552 E657580:E657588 E657616:E657624 E657652:E657660 E657688:E657696 E657724:E657732 E657760:E657768 E657796:E657804 E657832:E657840 E657868:E657876 E657904:E657912 E657940:E657948 E657976:E657984 E658012:E658020 E658048:E658056 E658084:E658092 E658120:E658128 E658156:E658164 E658192:E658200 E658228:E658236 E658264:E658272 E658300:E658308 E658336:E658344 E658372:E658380 E658408:E658416 E658444:E658452 E658480:E658488 E658516:E658524 E658552:E658560 E658588:E658596 E658624:E658632 E658660:E658668 E658696:E658704 E658732:E658740 E658768:E658776 E658804:E658812 E658840:E658848 E658876:E658884 E658912:E658920 E658948:E658956 E658984:E658992 E659020:E659028 E659056:E659064 E659092:E659100 E659128:E659136 E659164:E659172 E659200:E659208 E659236:E659244 E659272:E659280 E659308:E659316 E659344:E659352 E659380:E659388 E659416:E659424 E659452:E659460 E659488:E659496 E659524:E659532 E659560:E659568 E659596:E659604 E659632:E659640 E659668:E659676 E659704:E659712 E659740:E659748 E659776:E659784 E659812:E659820 E659848:E659856 E659884:E659892 E659920:E659928 E659956:E659964 E659992:E660000 E660028:E660036 E660064:E660072 E660100:E660108 E660136:E660144 E660172:E660180 E660208:E660216 E660244:E660252 E660280:E660288 E660316:E660324 E660352:E660360 E660388:E660396 E660424:E660432 E660460:E660468 E660496:E660504 E660532:E660540 E660568:E660576 E660604:E660612 E660640:E660648 E660676:E660684 E660712:E660720 E660748:E660756 E660784:E660792 E660820:E660828 E660856:E660864 E660892:E660900 E660928:E660936 E660964:E660972 E661000:E661008 E661036:E661044 E661072:E661080 E661108:E661116 E661144:E661152 E661180:E661188 E661216:E661224 E661252:E661260 E661288:E661296 E661324:E661332 E661360:E661368 E661396:E661404 E661432:E661440 E661468:E661476 E661504:E661512 E661540:E661548 E661576:E661584 E661612:E661620 E661648:E661656 E661684:E661692 E661720:E661728 E661756:E661764 E661792:E661800 E661828:E661836 E661864:E661872 E661900:E661908 E661936:E661944 E661972:E661980 E662008:E662016 E662044:E662052 E662080:E662088 E662116:E662124 E662152:E662160 E662188:E662196 E662224:E662232 E662260:E662268 E662296:E662304 E662332:E662340 E662368:E662376 E662404:E662412 E662440:E662448 E662476:E662484 E662512:E662520 E662548:E662556 E662584:E662592 E662620:E662628 E662656:E662664 E662692:E662700 E662728:E662736 E662764:E662772 E662800:E662808 E662836:E662844 E662872:E662880 E662908:E662916 E662944:E662952 E662980:E662988 E663016:E663024 E663052:E663060 E663088:E663096 E663124:E663132 E663160:E663168 E663196:E663204 E663232:E663240 E663268:E663276 E663304:E663312 E663340:E663348 E663376:E663384 E663412:E663420 E663448:E663456 E663484:E663492 E663520:E663528 E663556:E663564 E663592:E663600 E663628:E663636 E663664:E663672 E663700:E663708 E663736:E663744 E663772:E663780 E663808:E663816 E663844:E663852 E663880:E663888 E663916:E663924 E663952:E663960 E663988:E663996 E664024:E664032 E664060:E664068 E664096:E664104 E664132:E664140 E664168:E664176 E664204:E664212 E664240:E664248 E664276:E664284 E664312:E664320 E664348:E664356 E664384:E664392 E664420:E664428 E664456:E664464 E664492:E664500 E664528:E664536 E664564:E664572 E664600:E664608 E664636:E664644 E664672:E664680 E664708:E664716 E664744:E664752 E664780:E664788 E664816:E664824 E664852:E664860 E664888:E664896 E664924:E664932 E664960:E664968 E664996:E665004 E665032:E665040 E665068:E665076 E665104:E665112 E665140:E665148 E665176:E665184 E665212:E665220 E665248:E665256 E665284:E665292 E665320:E665328 E665356:E665364 E665392:E665400 E665428:E665436 E665464:E665472 E665500:E665508 E665536:E665544 E665572:E665580 E665608:E665616 E665644:E665652 E665680:E665688 E665716:E665724 E665752:E665760 E665788:E665796 E665824:E665832 E665860:E665868 E665896:E665904 E665932:E665940 E665968:E665976 E666004:E666012 E666040:E666048 E666076:E666084 E666112:E666120 E666148:E666156 E666184:E666192 E666220:E666228 E666256:E666264 E666292:E666300 E666328:E666336 E666364:E666372 E666400:E666408 E666436:E666444 E666472:E666480 E666508:E666516 E666544:E666552 E666580:E666588 E666616:E666624 E666652:E666660 E666688:E666696 E666724:E666732 E666760:E666768 E666796:E666804 E666832:E666840 E666868:E666876 E666904:E666912 E666940:E666948 E666976:E666984 E667012:E667020 E667048:E667056 E667084:E667092 E667120:E667128 E667156:E667164 E667192:E667200 E667228:E667236 E667264:E667272 E667300:E667308 E667336:E667344 E667372:E667380 E667408:E667416 E667444:E667452 E667480:E667488 E667516:E667524 E667552:E667560 E667588:E667596 E667624:E667632 E667660:E667668 E667696:E667704 E667732:E667740 E667768:E667776 E667804:E667812 E667840:E667848 E667876:E667884 E667912:E667920 E667948:E667956 E667984:E667992 E668020:E668028 E668056:E668064 E668092:E668100 E668128:E668136 E668164:E668172 E668200:E668208 E668236:E668244 E668272:E668280 E668308:E668316 E668344:E668352 E668380:E668388 E668416:E668424 E668452:E668460 E668488:E668496 E668524:E668532 E668560:E668568 E668596:E668604 E668632:E668640 E668668:E668676 E668704:E668712 E668740:E668748 E668776:E668784 E668812:E668820 E668848:E668856 E668884:E668892 E668920:E668928 E668956:E668964 E668992:E669000 E669028:E669036 E669064:E669072 E669100:E669108 E669136:E669144 E669172:E669180 E669208:E669216 E669244:E669252 E669280:E669288 E669316:E669324 E669352:E669360 E669388:E669396 E669424:E669432 E669460:E669468 E669496:E669504 E669532:E669540 E669568:E669576 E669604:E669612 E669640:E669648 E669676:E669684 E669712:E669720 E669748:E669756 E669784:E669792 E669820:E669828 E669856:E669864 E669892:E669900 E669928:E669936 E669964:E669972 E670000:E670008 E670036:E670044 E670072:E670080 E670108:E670116 E670144:E670152 E670180:E670188 E670216:E670224 E670252:E670260 E670288:E670296 E670324:E670332 E670360:E670368 E670396:E670404 E670432:E670440 E670468:E670476 E670504:E670512 E670540:E670548 E670576:E670584 E670612:E670620 E670648:E670656 E670684:E670692 E670720:E670728 E670756:E670764 E670792:E670800 E670828:E670836 E670864:E670872 E670900:E670908 E670936:E670944 E670972:E670980 E671008:E671016 E671044:E671052 E671080:E671088 E671116:E671124 E671152:E671160 E671188:E671196 E671224:E671232 E671260:E671268 E671296:E671304 E671332:E671340 E671368:E671376 E671404:E671412 E671440:E671448 E671476:E671484 E671512:E671520 E671548:E671556 E671584:E671592 E671620:E671628 E671656:E671664 E671692:E671700 E671728:E671736 E671764:E671772 E671800:E671808 E671836:E671844 E671872:E671880 E671908:E671916 E671944:E671952 E671980:E671988 E672016:E672024 E672052:E672060 E672088:E672096 E672124:E672132 E672160:E672168 E672196:E672204 E672232:E672240 E672268:E672276 E672304:E672312 E672340:E672348 E672376:E672384 E672412:E672420 E672448:E672456 E672484:E672492 E672520:E672528 E672556:E672564 E672592:E672600 E672628:E672636 E672664:E672672 E672700:E672708 E672736:E672744 E672772:E672780 E672808:E672816 E672844:E672852 E672880:E672888 E672916:E672924 E672952:E672960 E672988:E672996 E673024:E673032 E673060:E673068 E673096:E673104 E673132:E673140 E673168:E673176 E673204:E673212 E673240:E673248 E673276:E673284 E673312:E673320 E673348:E673356 E673384:E673392 E673420:E673428 E673456:E673464 E673492:E673500 E673528:E673536 E673564:E673572 E673600:E673608 E673636:E673644 E673672:E673680 E673708:E673716 E673744:E673752 E673780:E673788 E673816:E673824 E673852:E673860 E673888:E673896 E673924:E673932 E673960:E673968 E673996:E674004 E674032:E674040 E674068:E674076 E674104:E674112 E674140:E674148 E674176:E674184 E674212:E674220 E674248:E674256 E674284:E674292 E674320:E674328 E674356:E674364 E674392:E674400 E674428:E674436 E674464:E674472 E674500:E674508 E674536:E674544 E674572:E674580 E674608:E674616 E674644:E674652 E674680:E674688 E674716:E674724 E674752:E674760 E674788:E674796 E674824:E674832 E674860:E674868 E674896:E674904 E674932:E674940 E674968:E674976 E675004:E675012 E675040:E675048 E675076:E675084 E675112:E675120 E675148:E675156 E675184:E675192 E675220:E675228 E675256:E675264 E675292:E675300 E675328:E675336 E675364:E675372 E675400:E675408 E675436:E675444 E675472:E675480 E675508:E675516 E675544:E675552 E675580:E675588 E675616:E675624 E675652:E675660 E675688:E675696 E675724:E675732 E675760:E675768 E675796:E675804 E675832:E675840 E675868:E675876 E675904:E675912 E675940:E675948 E675976:E675984 E676012:E676020 E676048:E676056 E676084:E676092 E676120:E676128 E676156:E676164 E676192:E676200 E676228:E676236 E676264:E676272 E676300:E676308 E676336:E676344 E676372:E676380 E676408:E676416 E676444:E676452 E676480:E676488 E676516:E676524 E676552:E676560 E676588:E676596 E676624:E676632 E676660:E676668 E676696:E676704 E676732:E676740 E676768:E676776 E676804:E676812 E676840:E676848 E676876:E676884 E676912:E676920 E676948:E676956 E676984:E676992 E677020:E677028 E677056:E677064 E677092:E677100 E677128:E677136 E677164:E677172 E677200:E677208 E677236:E677244 E677272:E677280 E677308:E677316 E677344:E677352 E677380:E677388 E677416:E677424 E677452:E677460 E677488:E677496 E677524:E677532 E677560:E677568 E677596:E677604 E677632:E677640 E677668:E677676 E677704:E677712 E677740:E677748 E677776:E677784 E677812:E677820 E677848:E677856 E677884:E677892 E677920:E677928 E677956:E677964 E677992:E678000 E678028:E678036 E678064:E678072 E678100:E678108 E678136:E678144 E678172:E678180 E678208:E678216 E678244:E678252 E678280:E678288 E678316:E678324 E678352:E678360 E678388:E678396 E678424:E678432 E678460:E678468 E678496:E678504 E678532:E678540 E678568:E678576 E678604:E678612 E678640:E678648 E678676:E678684 E678712:E678720 E678748:E678756 E678784:E678792 E678820:E678828 E678856:E678864 E678892:E678900 E678928:E678936 E678964:E678972 E679000:E679008 E679036:E679044 E679072:E679080 E679108:E679116 E679144:E679152 E679180:E679188 E679216:E679224 E679252:E679260 E679288:E679296 E679324:E679332 E679360:E679368 E679396:E679404 E679432:E679440 E679468:E679476 E679504:E679512 E679540:E679548 E679576:E679584 E679612:E679620 E679648:E679656 E679684:E679692 E679720:E679728 E679756:E679764 E679792:E679800 E679828:E679836 E679864:E679872 E679900:E679908 E679936:E679944 E679972:E679980 E680008:E680016 E680044:E680052 E680080:E680088 E680116:E680124 E680152:E680160 E680188:E680196 E680224:E680232 E680260:E680268 E680296:E680304 E680332:E680340 E680368:E680376 E680404:E680412 E680440:E680448 E680476:E680484 E680512:E680520 E680548:E680556 E680584:E680592 E680620:E680628 E680656:E680664 E680692:E680700 E680728:E680736 E680764:E680772 E680800:E680808 E680836:E680844 E680872:E680880 E680908:E680916 E680944:E680952 E680980:E680988 E681016:E681024 E681052:E681060 E681088:E681096 E681124:E681132 E681160:E681168 E681196:E681204 E681232:E681240 E681268:E681276 E681304:E681312 E681340:E681348 E681376:E681384 E681412:E681420 E681448:E681456 E681484:E681492 E681520:E681528 E681556:E681564 E681592:E681600 E681628:E681636 E681664:E681672 E681700:E681708 E681736:E681744 E681772:E681780 E681808:E681816 E681844:E681852 E681880:E681888 E681916:E681924 E681952:E681960 E681988:E681996 E682024:E682032 E682060:E682068 E682096:E682104 E682132:E682140 E682168:E682176 E682204:E682212 E682240:E682248 E682276:E682284 E682312:E682320 E682348:E682356 E682384:E682392 E682420:E682428 E682456:E682464 E682492:E682500 E682528:E682536 E682564:E682572 E682600:E682608 E682636:E682644 E682672:E682680 E682708:E682716 E682744:E682752 E682780:E682788 E682816:E682824 E682852:E682860 E682888:E682896 E682924:E682932 E682960:E682968 E682996:E683004 E683032:E683040 E683068:E683076 E683104:E683112 E683140:E683148 E683176:E683184 E683212:E683220 E683248:E683256 E683284:E683292 E683320:E683328 E683356:E683364 E683392:E683400 E683428:E683436 E683464:E683472 E683500:E683508 E683536:E683544 E683572:E683580 E683608:E683616 E683644:E683652 E683680:E683688 E683716:E683724 E683752:E683760 E683788:E683796 E683824:E683832 E683860:E683868 E683896:E683904 E683932:E683940 E683968:E683976 E684004:E684012 E684040:E684048 E684076:E684084 E684112:E684120 E684148:E684156 E684184:E684192 E684220:E684228 E684256:E684264 E684292:E684300 E684328:E684336 E684364:E684372 E684400:E684408 E684436:E684444 E684472:E684480 E684508:E684516 E684544:E684552 E684580:E684588 E684616:E684624 E684652:E684660 E684688:E684696 E684724:E684732 E684760:E684768 E684796:E684804 E684832:E684840 E684868:E684876 E684904:E684912 E684940:E684948 E684976:E684984 E685012:E685020 E685048:E685056 E685084:E685092 E685120:E685128 E685156:E685164 E685192:E685200 E685228:E685236 E685264:E685272 E685300:E685308 E685336:E685344 E685372:E685380 E685408:E685416 E685444:E685452 E685480:E685488 E685516:E685524 E685552:E685560 E685588:E685596 E685624:E685632 E685660:E685668 E685696:E685704 E685732:E685740 E685768:E685776 E685804:E685812 E685840:E685848 E685876:E685884 E685912:E685920 E685948:E685956 E685984:E685992 E686020:E686028 E686056:E686064 E686092:E686100 E686128:E686136 E686164:E686172 E686200:E686208 E686236:E686244 E686272:E686280 E686308:E686316 E686344:E686352 E686380:E686388 E686416:E686424 E686452:E686460 E686488:E686496 E686524:E686532 E686560:E686568 E686596:E686604 E686632:E686640 E686668:E686676 E686704:E686712 E686740:E686748 E686776:E686784 E686812:E686820 E686848:E686856 E686884:E686892 E686920:E686928 E686956:E686964 E686992:E687000 E687028:E687036 E687064:E687072 E687100:E687108 E687136:E687144 E687172:E687180 E687208:E687216 E687244:E687252 E687280:E687288 E687316:E687324 E687352:E687360 E687388:E687396 E687424:E687432 E687460:E687468 E687496:E687504 E687532:E687540 E687568:E687576 E687604:E687612 E687640:E687648 E687676:E687684 E687712:E687720 E687748:E687756 E687784:E687792 E687820:E687828 E687856:E687864 E687892:E687900 E687928:E687936 E687964:E687972 E688000:E688008 E688036:E688044 E688072:E688080 E688108:E688116 E688144:E688152 E688180:E688188 E688216:E688224 E688252:E688260 E688288:E688296 E688324:E688332 E688360:E688368 E688396:E688404 E688432:E688440 E688468:E688476 E688504:E688512 E688540:E688548 E688576:E688584 E688612:E688620 E688648:E688656 E688684:E688692 E688720:E688728 E688756:E688764 E688792:E688800 E688828:E688836 E688864:E688872 E688900:E688908 E688936:E688944 E688972:E688980 E689008:E689016 E689044:E689052 E689080:E689088 E689116:E689124 E689152:E689160 E689188:E689196 E689224:E689232 E689260:E689268 E689296:E689304 E689332:E689340 E689368:E689376 E689404:E689412 E689440:E689448 E689476:E689484 E689512:E689520 E689548:E689556 E689584:E689592 E689620:E689628 E689656:E689664 E689692:E689700 E689728:E689736 E689764:E689772 E689800:E689808 E689836:E689844 E689872:E689880 E689908:E689916 E689944:E689952 E689980:E689988 E690016:E690024 E690052:E690060 E690088:E690096 E690124:E690132 E690160:E690168 E690196:E690204 E690232:E690240 E690268:E690276 E690304:E690312 E690340:E690348 E690376:E690384 E690412:E690420 E690448:E690456 E690484:E690492 E690520:E690528 E690556:E690564 E690592:E690600 E690628:E690636 E690664:E690672 E690700:E690708 E690736:E690744 E690772:E690780 E690808:E690816 E690844:E690852 E690880:E690888 E690916:E690924 E690952:E690960 E690988:E690996 E691024:E691032 E691060:E691068 E691096:E691104 E691132:E691140 E691168:E691176 E691204:E691212 E691240:E691248 E691276:E691284 E691312:E691320 E691348:E691356 E691384:E691392 E691420:E691428 E691456:E691464 E691492:E691500 E691528:E691536 E691564:E691572 E691600:E691608 E691636:E691644 E691672:E691680 E691708:E691716 E691744:E691752 E691780:E691788 E691816:E691824 E691852:E691860 E691888:E691896 E691924:E691932 E691960:E691968 E691996:E692004 E692032:E692040 E692068:E692076 E692104:E692112 E692140:E692148 E692176:E692184 E692212:E692220 E692248:E692256 E692284:E692292 E692320:E692328 E692356:E692364 E692392:E692400 E692428:E692436 E692464:E692472 E692500:E692508 E692536:E692544 E692572:E692580 E692608:E692616 E692644:E692652 E692680:E692688 E692716:E692724 E692752:E692760 E692788:E692796 E692824:E692832 E692860:E692868 E692896:E692904 E692932:E692940 E692968:E692976 E693004:E693012 E693040:E693048 E693076:E693084 E693112:E693120 E693148:E693156 E693184:E693192 E693220:E693228 E693256:E693264 E693292:E693300 E693328:E693336 E693364:E693372 E693400:E693408 E693436:E693444 E693472:E693480 E693508:E693516 E693544:E693552 E693580:E693588 E693616:E693624 E693652:E693660 E693688:E693696 E693724:E693732 E693760:E693768 E693796:E693804 E693832:E693840 E693868:E693876 E693904:E693912 E693940:E693948 E693976:E693984 E694012:E694020 E694048:E694056 E694084:E694092 E694120:E694128 E694156:E694164 E694192:E694200 E694228:E694236 E694264:E694272 E694300:E694308 E694336:E694344 E694372:E694380 E694408:E694416 E694444:E694452 E694480:E694488 E694516:E694524 E694552:E694560 E694588:E694596 E694624:E694632 E694660:E694668 E694696:E694704 E694732:E694740 E694768:E694776 E694804:E694812 E694840:E694848 E694876:E694884 E694912:E694920 E694948:E694956 E694984:E694992 E695020:E695028 E695056:E695064 E695092:E695100 E695128:E695136 E695164:E695172 E695200:E695208 E695236:E695244 E695272:E695280 E695308:E695316 E695344:E695352 E695380:E695388 E695416:E695424 E695452:E695460 E695488:E695496 E695524:E695532 E695560:E695568 E695596:E695604 E695632:E695640 E695668:E695676 E695704:E695712 E695740:E695748 E695776:E695784 E695812:E695820 E695848:E695856 E695884:E695892 E695920:E695928 E695956:E695964 E695992:E696000 E696028:E696036 E696064:E696072 E696100:E696108 E696136:E696144 E696172:E696180 E696208:E696216 E696244:E696252 E696280:E696288 E696316:E696324 E696352:E696360 E696388:E696396 E696424:E696432 E696460:E696468 E696496:E696504 E696532:E696540 E696568:E696576 E696604:E696612 E696640:E696648 E696676:E696684 E696712:E696720 E696748:E696756 E696784:E696792 E696820:E696828 E696856:E696864 E696892:E696900 E696928:E696936 E696964:E696972 E697000:E697008 E697036:E697044 E697072:E697080 E697108:E697116 E697144:E697152 E697180:E697188 E697216:E697224 E697252:E697260 E697288:E697296 E697324:E697332 E697360:E697368 E697396:E697404 E697432:E697440 E697468:E697476 E697504:E697512 E697540:E697548 E697576:E697584 E697612:E697620 E697648:E697656 E697684:E697692 E697720:E697728 E697756:E697764 E697792:E697800 E697828:E697836 E697864:E697872 E697900:E697908 E697936:E697944 E697972:E697980 E698008:E698016 E698044:E698052 E698080:E698088 E698116:E698124 E698152:E698160 E698188:E698196 E698224:E698232 E698260:E698268 E698296:E698304 E698332:E698340 E698368:E698376 E698404:E698412 E698440:E698448 E698476:E698484 E698512:E698520 E698548:E698556 E698584:E698592 E698620:E698628 E698656:E698664 E698692:E698700 E698728:E698736 E698764:E698772 E698800:E698808 E698836:E698844 E698872:E698880 E698908:E698916 E698944:E698952 E698980:E698988 E699016:E699024 E699052:E699060 E699088:E699096 E699124:E699132 E699160:E699168 E699196:E699204 E699232:E699240 E699268:E699276 E699304:E699312 E699340:E699348 E699376:E699384 E699412:E699420 E699448:E699456 E699484:E699492 E699520:E699528 E699556:E699564 E699592:E699600 E699628:E699636 E699664:E699672 E699700:E699708 E699736:E699744 E699772:E699780 E699808:E699816 E699844:E699852 E699880:E699888 E699916:E699924 E699952:E699960 E699988:E699996 E700024:E700032 E700060:E700068 E700096:E700104 E700132:E700140 E700168:E700176 E700204:E700212 E700240:E700248 E700276:E700284 E700312:E700320 E700348:E700356 E700384:E700392 E700420:E700428 E700456:E700464 E700492:E700500 E700528:E700536 E700564:E700572 E700600:E700608 E700636:E700644 E700672:E700680 E700708:E700716 E700744:E700752 E700780:E700788 E700816:E700824 E700852:E700860 E700888:E700896 E700924:E700932 E700960:E700968 E700996:E701004 E701032:E701040 E701068:E701076 E701104:E701112 E701140:E701148 E701176:E701184 E701212:E701220 E701248:E701256 E701284:E701292 E701320:E701328 E701356:E701364 E701392:E701400 E701428:E701436 E701464:E701472 E701500:E701508 E701536:E701544 E701572:E701580 E701608:E701616 E701644:E701652 E701680:E701688 E701716:E701724 E701752:E701760 E701788:E701796 E701824:E701832 E701860:E701868 E701896:E701904 E701932:E701940 E701968:E701976 E702004:E702012 E702040:E702048 E702076:E702084 E702112:E702120 E702148:E702156 E702184:E702192 E702220:E702228 E702256:E702264 E702292:E702300 E702328:E702336 E702364:E702372 E702400:E702408 E702436:E702444 E702472:E702480 E702508:E702516 E702544:E702552 E702580:E702588 E702616:E702624 E702652:E702660 E702688:E702696 E702724:E702732 E702760:E702768 E702796:E702804 E702832:E702840 E702868:E702876 E702904:E702912 E702940:E702948 E702976:E702984 E703012:E703020 E703048:E703056 E703084:E703092 E703120:E703128 E703156:E703164 E703192:E703200 E703228:E703236 E703264:E703272 E703300:E703308 E703336:E703344 E703372:E703380 E703408:E703416 E703444:E703452 E703480:E703488 E703516:E703524 E703552:E703560 E703588:E703596 E703624:E703632 E703660:E703668 E703696:E703704 E703732:E703740 E703768:E703776 E703804:E703812 E703840:E703848 E703876:E703884 E703912:E703920 E703948:E703956 E703984:E703992 E704020:E704028 E704056:E704064 E704092:E704100 E704128:E704136 E704164:E704172 E704200:E704208 E704236:E704244 E704272:E704280 E704308:E704316 E704344:E704352 E704380:E704388 E704416:E704424 E704452:E704460 E704488:E704496 E704524:E704532 E704560:E704568 E704596:E704604 E704632:E704640 E704668:E704676 E704704:E704712 E704740:E704748 E704776:E704784 E704812:E704820 E704848:E704856 E704884:E704892 E704920:E704928 E704956:E704964 E704992:E705000 E705028:E705036 E705064:E705072 E705100:E705108 E705136:E705144 E705172:E705180 E705208:E705216 E705244:E705252 E705280:E705288 E705316:E705324 E705352:E705360 E705388:E705396 E705424:E705432 E705460:E705468 E705496:E705504 E705532:E705540 E705568:E705576 E705604:E705612 E705640:E705648 E705676:E705684 E705712:E705720 E705748:E705756 E705784:E705792 E705820:E705828 E705856:E705864 E705892:E705900 E705928:E705936 E705964:E705972 E706000:E706008 E706036:E706044 E706072:E706080 E706108:E706116 E706144:E706152 E706180:E706188 E706216:E706224 E706252:E706260 E706288:E706296 E706324:E706332 E706360:E706368 E706396:E706404 E706432:E706440 E706468:E706476 E706504:E706512 E706540:E706548 E706576:E706584 E706612:E706620 E706648:E706656 E706684:E706692 E706720:E706728 E706756:E706764 E706792:E706800 E706828:E706836 E706864:E706872 E706900:E706908 E706936:E706944 E706972:E706980 E707008:E707016 E707044:E707052 E707080:E707088 E707116:E707124 E707152:E707160 E707188:E707196 E707224:E707232 E707260:E707268 E707296:E707304 E707332:E707340 E707368:E707376 E707404:E707412 E707440:E707448 E707476:E707484 E707512:E707520 E707548:E707556 E707584:E707592 E707620:E707628 E707656:E707664 E707692:E707700 E707728:E707736 E707764:E707772 E707800:E707808 E707836:E707844 E707872:E707880 E707908:E707916 E707944:E707952 E707980:E707988 E708016:E708024 E708052:E708060 E708088:E708096 E708124:E708132 E708160:E708168 E708196:E708204 E708232:E708240 E708268:E708276 E708304:E708312 E708340:E708348 E708376:E708384 E708412:E708420 E708448:E708456 E708484:E708492 E708520:E708528 E708556:E708564 E708592:E708600 E708628:E708636 E708664:E708672 E708700:E708708 E708736:E708744 E708772:E708780 E708808:E708816 E708844:E708852 E708880:E708888 E708916:E708924 E708952:E708960 E708988:E708996 E709024:E709032 E709060:E709068 E709096:E709104 E709132:E709140 E709168:E709176 E709204:E709212 E709240:E709248 E709276:E709284 E709312:E709320 E709348:E709356 E709384:E709392 E709420:E709428 E709456:E709464 E709492:E709500 E709528:E709536 E709564:E709572 E709600:E709608 E709636:E709644 E709672:E709680 E709708:E709716 E709744:E709752 E709780:E709788 E709816:E709824 E709852:E709860 E709888:E709896 E709924:E709932 E709960:E709968 E709996:E710004 E710032:E710040 E710068:E710076 E710104:E710112 E710140:E710148 E710176:E710184 E710212:E710220 E710248:E710256 E710284:E710292 E710320:E710328 E710356:E710364 E710392:E710400 E710428:E710436 E710464:E710472 E710500:E710508 E710536:E710544 E710572:E710580 E710608:E710616 E710644:E710652 E710680:E710688 E710716:E710724 E710752:E710760 E710788:E710796 E710824:E710832 E710860:E710868 E710896:E710904 E710932:E710940 E710968:E710976 E711004:E711012 E711040:E711048 E711076:E711084 E711112:E711120 E711148:E711156 E711184:E711192 E711220:E711228 E711256:E711264 E711292:E711300 E711328:E711336 E711364:E711372 E711400:E711408 E711436:E711444 E711472:E711480 E711508:E711516 E711544:E711552 E711580:E711588 E711616:E711624 E711652:E711660 E711688:E711696 E711724:E711732 E711760:E711768 E711796:E711804 E711832:E711840 E711868:E711876 E711904:E711912 E711940:E711948 E711976:E711984 E712012:E712020 E712048:E712056 E712084:E712092 E712120:E712128 E712156:E712164 E712192:E712200 E712228:E712236 E712264:E712272 E712300:E712308 E712336:E712344 E712372:E712380 E712408:E712416 E712444:E712452 E712480:E712488 E712516:E712524 E712552:E712560 E712588:E712596 E712624:E712632 E712660:E712668 E712696:E712704 E712732:E712740 E712768:E712776 E712804:E712812 E712840:E712848 E712876:E712884 E712912:E712920 E712948:E712956 E712984:E712992 E713020:E713028 E713056:E713064 E713092:E713100 E713128:E713136 E713164:E713172 E713200:E713208 E713236:E713244 E713272:E713280 E713308:E713316 E713344:E713352 E713380:E713388 E713416:E713424 E713452:E713460 E713488:E713496 E713524:E713532 E713560:E713568 E713596:E713604 E713632:E713640 E713668:E713676 E713704:E713712 E713740:E713748 E713776:E713784 E713812:E713820 E713848:E713856 E713884:E713892 E713920:E713928 E713956:E713964 E713992:E714000 E714028:E714036 E714064:E714072 E714100:E714108 E714136:E714144 E714172:E714180 E714208:E714216 E714244:E714252 E714280:E714288 E714316:E714324 E714352:E714360 E714388:E714396 E714424:E714432 E714460:E714468 E714496:E714504 E714532:E714540 E714568:E714576 E714604:E714612 E714640:E714648 E714676:E714684 E714712:E714720 E714748:E714756 E714784:E714792 E714820:E714828 E714856:E714864 E714892:E714900 E714928:E714936 E714964:E714972 E715000:E715008 E715036:E715044 E715072:E715080 E715108:E715116 E715144:E715152 E715180:E715188 E715216:E715224 E715252:E715260 E715288:E715296 E715324:E715332 E715360:E715368 E715396:E715404 E715432:E715440 E715468:E715476 E715504:E715512 E715540:E715548 E715576:E715584 E715612:E715620 E715648:E715656 E715684:E715692 E715720:E715728 E715756:E715764 E715792:E715800 E715828:E715836 E715864:E715872 E715900:E715908 E715936:E715944 E715972:E715980 E716008:E716016 E716044:E716052 E716080:E716088 E716116:E716124 E716152:E716160 E716188:E716196 E716224:E716232 E716260:E716268 E716296:E716304 E716332:E716340 E716368:E716376 E716404:E716412 E716440:E716448 E716476:E716484 E716512:E716520 E716548:E716556 E716584:E716592 E716620:E716628 E716656:E716664 E716692:E716700 E716728:E716736 E716764:E716772 E716800:E716808 E716836:E716844 E716872:E716880 E716908:E716916 E716944:E716952 E716980:E716988 E717016:E717024 E717052:E717060 E717088:E717096 E717124:E717132 E717160:E717168 E717196:E717204 E717232:E717240 E717268:E717276 E717304:E717312 E717340:E717348 E717376:E717384 E717412:E717420 E717448:E717456 E717484:E717492 E717520:E717528 E717556:E717564 E717592:E717600 E717628:E717636 E717664:E717672 E717700:E717708 E717736:E717744 E717772:E717780 E717808:E717816 E717844:E717852 E717880:E717888 E717916:E717924 E717952:E717960 E717988:E717996 E718024:E718032 E718060:E718068 E718096:E718104 E718132:E718140 E718168:E718176 E718204:E718212 E718240:E718248 E718276:E718284 E718312:E718320 E718348:E718356 E718384:E718392 E718420:E718428 E718456:E718464 E718492:E718500 E718528:E718536 E718564:E718572 E718600:E718608 E718636:E718644 E718672:E718680 E718708:E718716 E718744:E718752 E718780:E718788 E718816:E718824 E718852:E718860 E718888:E718896 E718924:E718932 E718960:E718968 E718996:E719004 E719032:E719040 E719068:E719076 E719104:E719112 E719140:E719148 E719176:E719184 E719212:E719220 E719248:E719256 E719284:E719292 E719320:E719328 E719356:E719364 E719392:E719400 E719428:E719436 E719464:E719472 E719500:E719508 E719536:E719544 E719572:E719580 E719608:E719616 E719644:E719652 E719680:E719688 E719716:E719724 E719752:E719760 E719788:E719796 E719824:E719832 E719860:E719868 E719896:E719904 E719932:E719940 E719968:E719976 E720004:E720012 E720040:E720048 E720076:E720084 E720112:E720120 E720148:E720156 E720184:E720192 E720220:E720228 E720256:E720264 E720292:E720300 E720328:E720336 E720364:E720372 E720400:E720408 E720436:E720444 E720472:E720480 E720508:E720516 E720544:E720552 E720580:E720588 E720616:E720624 E720652:E720660 E720688:E720696 E720724:E720732 E720760:E720768 E720796:E720804 E720832:E720840 E720868:E720876 E720904:E720912 E720940:E720948 E720976:E720984 E721012:E721020 E721048:E721056 E721084:E721092 E721120:E721128 E721156:E721164 E721192:E721200 E721228:E721236 E721264:E721272 E721300:E721308 E721336:E721344 E721372:E721380 E721408:E721416 E721444:E721452 E721480:E721488 E721516:E721524 E721552:E721560 E721588:E721596 E721624:E721632 E721660:E721668 E721696:E721704 E721732:E721740 E721768:E721776 E721804:E721812 E721840:E721848 E721876:E721884 E721912:E721920 E721948:E721956 E721984:E721992 E722020:E722028 E722056:E722064 E722092:E722100 E722128:E722136 E722164:E722172 E722200:E722208 E722236:E722244 E722272:E722280 E722308:E722316 E722344:E722352 E722380:E722388 E722416:E722424 E722452:E722460 E722488:E722496 E722524:E722532 E722560:E722568 E722596:E722604 E722632:E722640 E722668:E722676 E722704:E722712 E722740:E722748 E722776:E722784 E722812:E722820 E722848:E722856 E722884:E722892 E722920:E722928 E722956:E722964 E722992:E723000 E723028:E723036 E723064:E723072 E723100:E723108 E723136:E723144 E723172:E723180 E723208:E723216 E723244:E723252 E723280:E723288 E723316:E723324 E723352:E723360 E723388:E723396 E723424:E723432 E723460:E723468 E723496:E723504 E723532:E723540 E723568:E723576 E723604:E723612 E723640:E723648 E723676:E723684 E723712:E723720 E723748:E723756 E723784:E723792 E723820:E723828 E723856:E723864 E723892:E723900 E723928:E723936 E723964:E723972 E724000:E724008 E724036:E724044 E724072:E724080 E724108:E724116 E724144:E724152 E724180:E724188 E724216:E724224 E724252:E724260 E724288:E724296 E724324:E724332 E724360:E724368 E724396:E724404 E724432:E724440 E724468:E724476 E724504:E724512 E724540:E724548 E724576:E724584 E724612:E724620 E724648:E724656 E724684:E724692 E724720:E724728 E724756:E724764 E724792:E724800 E724828:E724836 E724864:E724872 E724900:E724908 E724936:E724944 E724972:E724980 E725008:E725016 E725044:E725052 E725080:E725088 E725116:E725124 E725152:E725160 E725188:E725196 E725224:E725232 E725260:E725268 E725296:E725304 E725332:E725340 E725368:E725376 E725404:E725412 E725440:E725448 E725476:E725484 E725512:E725520 E725548:E725556 E725584:E725592 E725620:E725628 E725656:E725664 E725692:E725700 E725728:E725736 E725764:E725772 E725800:E725808 E725836:E725844 E725872:E725880 E725908:E725916 E725944:E725952 E725980:E725988 E726016:E726024 E726052:E726060 E726088:E726096 E726124:E726132 E726160:E726168 E726196:E726204 E726232:E726240 E726268:E726276 E726304:E726312 E726340:E726348 E726376:E726384 E726412:E726420 E726448:E726456 E726484:E726492 E726520:E726528 E726556:E726564 E726592:E726600 E726628:E726636 E726664:E726672 E726700:E726708 E726736:E726744 E726772:E726780 E726808:E726816 E726844:E726852 E726880:E726888 E726916:E726924 E726952:E726960 E726988:E726996 E727024:E727032 E727060:E727068 E727096:E727104 E727132:E727140 E727168:E727176 E727204:E727212 E727240:E727248 E727276:E727284 E727312:E727320 E727348:E727356 E727384:E727392 E727420:E727428 E727456:E727464 E727492:E727500 E727528:E727536 E727564:E727572 E727600:E727608 E727636:E727644 E727672:E727680 E727708:E727716 E727744:E727752 E727780:E727788 E727816:E727824 E727852:E727860 E727888:E727896 E727924:E727932 E727960:E727968 E727996:E728004 E728032:E728040 E728068:E728076 E728104:E728112 E728140:E728148 E728176:E728184 E728212:E728220 E728248:E728256 E728284:E728292 E728320:E728328 E728356:E728364 E728392:E728400 E728428:E728436 E728464:E728472 E728500:E728508 E728536:E728544 E728572:E728580 E728608:E728616 E728644:E728652 E728680:E728688 E728716:E728724 E728752:E728760 E728788:E728796 E728824:E728832 E728860:E728868 E728896:E728904 E728932:E728940 E728968:E728976 E729004:E729012 E729040:E729048 E729076:E729084 E729112:E729120 E729148:E729156 E729184:E729192 E729220:E729228 E729256:E729264 E729292:E729300 E729328:E729336 E729364:E729372 E729400:E729408 E729436:E729444 E729472:E729480 E729508:E729516 E729544:E729552 E729580:E729588 E729616:E729624 E729652:E729660 E729688:E729696 E729724:E729732 E729760:E729768 E729796:E729804 E729832:E729840 E729868:E729876 E729904:E729912 E729940:E729948 E729976:E729984 E730012:E730020 E730048:E730056 E730084:E730092 E730120:E730128 E730156:E730164 E730192:E730200 E730228:E730236 E730264:E730272 E730300:E730308 E730336:E730344 E730372:E730380 E730408:E730416 E730444:E730452 E730480:E730488 E730516:E730524 E730552:E730560 E730588:E730596 E730624:E730632 E730660:E730668 E730696:E730704 E730732:E730740 E730768:E730776 E730804:E730812 E730840:E730848 E730876:E730884 E730912:E730920 E730948:E730956 E730984:E730992 E731020:E731028 E731056:E731064 E731092:E731100 E731128:E731136 E731164:E731172 E731200:E731208 E731236:E731244 E731272:E731280 E731308:E731316 E731344:E731352 E731380:E731388 E731416:E731424 E731452:E731460 E731488:E731496 E731524:E731532 E731560:E731568 E731596:E731604 E731632:E731640 E731668:E731676 E731704:E731712 E731740:E731748 E731776:E731784 E731812:E731820 E731848:E731856 E731884:E731892 E731920:E731928 E731956:E731964 E731992:E732000 E732028:E732036 E732064:E732072 E732100:E732108 E732136:E732144 E732172:E732180 E732208:E732216 E732244:E732252 E732280:E732288 E732316:E732324 E732352:E732360 E732388:E732396 E732424:E732432 E732460:E732468 E732496:E732504 E732532:E732540 E732568:E732576 E732604:E732612 E732640:E732648 E732676:E732684 E732712:E732720 E732748:E732756 E732784:E732792 E732820:E732828 E732856:E732864 E732892:E732900 E732928:E732936 E732964:E732972 E733000:E733008 E733036:E733044 E733072:E733080 E733108:E733116 E733144:E733152 E733180:E733188 E733216:E733224 E733252:E733260 E733288:E733296 E733324:E733332 E733360:E733368 E733396:E733404 E733432:E733440 E733468:E733476 E733504:E733512 E733540:E733548 E733576:E733584 E733612:E733620 E733648:E733656 E733684:E733692 E733720:E733728 E733756:E733764 E733792:E733800 E733828:E733836 E733864:E733872 E733900:E733908 E733936:E733944 E733972:E733980 E734008:E734016 E734044:E734052 E734080:E734088 E734116:E734124 E734152:E734160 E734188:E734196 E734224:E734232 E734260:E734268 E734296:E734304 E734332:E734340 E734368:E734376 E734404:E734412 E734440:E734448 E734476:E734484 E734512:E734520 E734548:E734556 E734584:E734592 E734620:E734628 E734656:E734664 E734692:E734700 E734728:E734736 E734764:E734772 E734800:E734808 E734836:E734844 E734872:E734880 E734908:E734916 E734944:E734952 E734980:E734988 E735016:E735024 E735052:E735060 E735088:E735096 E735124:E735132 E735160:E735168 E735196:E735204 E735232:E735240 E735268:E735276 E735304:E735312 E735340:E735348 E735376:E735384 E735412:E735420 E735448:E735456 E735484:E735492 E735520:E735528 E735556:E735564 E735592:E735600 E735628:E735636 E735664:E735672 E735700:E735708 E735736:E735744 E735772:E735780 E735808:E735816 E735844:E735852 E735880:E735888 E735916:E735924 E735952:E735960 E735988:E735996 E736024:E736032 E736060:E736068 E736096:E736104 E736132:E736140 E736168:E736176 E736204:E736212 E736240:E736248 E736276:E736284 E736312:E736320 E736348:E736356 E736384:E736392 E736420:E736428 E736456:E736464 E736492:E736500 E736528:E736536 E736564:E736572 E736600:E736608 E736636:E736644 E736672:E736680 E736708:E736716 E736744:E736752 E736780:E736788 E736816:E736824 E736852:E736860 E736888:E736896 E736924:E736932 E736960:E736968 E736996:E737004 E737032:E737040 E737068:E737076 E737104:E737112 E737140:E737148 E737176:E737184 E737212:E737220 E737248:E737256 E737284:E737292 E737320:E737328 E737356:E737364 E737392:E737400 E737428:E737436 E737464:E737472 E737500:E737508 E737536:E737544 E737572:E737580 E737608:E737616 E737644:E737652 E737680:E737688 E737716:E737724 E737752:E737760 E737788:E737796 E737824:E737832 E737860:E737868 E737896:E737904 E737932:E737940 E737968:E737976 E738004:E738012 E738040:E738048 E738076:E738084 E738112:E738120 E738148:E738156 E738184:E738192 E738220:E738228 E738256:E738264 E738292:E738300 E738328:E738336 E738364:E738372 E738400:E738408 E738436:E738444 E738472:E738480 E738508:E738516 E738544:E738552 E738580:E738588 E738616:E738624 E738652:E738660 E738688:E738696 E738724:E738732 E738760:E738768 E738796:E738804 E738832:E738840 E738868:E738876 E738904:E738912 E738940:E738948 E738976:E738984 E739012:E739020 E739048:E739056 E739084:E739092 E739120:E739128 E739156:E739164 E739192:E739200 E739228:E739236 E739264:E739272 E739300:E739308 E739336:E739344 E739372:E739380 E739408:E739416 E739444:E739452 E739480:E739488 E739516:E739524 E739552:E739560 E739588:E739596 E739624:E739632 E739660:E739668 E739696:E739704 E739732:E739740 E739768:E739776 E739804:E739812 E739840:E739848 E739876:E739884 E739912:E739920 E739948:E739956 E739984:E739992 E740020:E740028 E740056:E740064 E740092:E740100 E740128:E740136 E740164:E740172 E740200:E740208 E740236:E740244 E740272:E740280 E740308:E740316 E740344:E740352 E740380:E740388 E740416:E740424 E740452:E740460 E740488:E740496 E740524:E740532 E740560:E740568 E740596:E740604 E740632:E740640 E740668:E740676 E740704:E740712 E740740:E740748 E740776:E740784 E740812:E740820 E740848:E740856 E740884:E740892 E740920:E740928 E740956:E740964 E740992:E741000 E741028:E741036 E741064:E741072 E741100:E741108 E741136:E741144 E741172:E741180 E741208:E741216 E741244:E741252 E741280:E741288 E741316:E741324 E741352:E741360 E741388:E741396 E741424:E741432 E741460:E741468 E741496:E741504 E741532:E741540 E741568:E741576 E741604:E741612 E741640:E741648 E741676:E741684 E741712:E741720 E741748:E741756 E741784:E741792 E741820:E741828 E741856:E741864 E741892:E741900 E741928:E741936 E741964:E741972 E742000:E742008 E742036:E742044 E742072:E742080 E742108:E742116 E742144:E742152 E742180:E742188 E742216:E742224 E742252:E742260 E742288:E742296 E742324:E742332 E742360:E742368 E742396:E742404 E742432:E742440 E742468:E742476 E742504:E742512 E742540:E742548 E742576:E742584 E742612:E742620 E742648:E742656 E742684:E742692 E742720:E742728 E742756:E742764 E742792:E742800 E742828:E742836 E742864:E742872 E742900:E742908 E742936:E742944 E742972:E742980 E743008:E743016 E743044:E743052 E743080:E743088 E743116:E743124 E743152:E743160 E743188:E743196 E743224:E743232 E743260:E743268 E743296:E743304 E743332:E743340 E743368:E743376 E743404:E743412 E743440:E743448 E743476:E743484 E743512:E743520 E743548:E743556 E743584:E743592 E743620:E743628 E743656:E743664 E743692:E743700 E743728:E743736 E743764:E743772 E743800:E743808 E743836:E743844 E743872:E743880 E743908:E743916 E743944:E743952 E743980:E743988 E744016:E744024 E744052:E744060 E744088:E744096 E744124:E744132 E744160:E744168 E744196:E744204 E744232:E744240 E744268:E744276 E744304:E744312 E744340:E744348 E744376:E744384 E744412:E744420 E744448:E744456 E744484:E744492 E744520:E744528 E744556:E744564 E744592:E744600 E744628:E744636 E744664:E744672 E744700:E744708 E744736:E744744 E744772:E744780 E744808:E744816 E744844:E744852 E744880:E744888 E744916:E744924 E744952:E744960 E744988:E744996 E745024:E745032 E745060:E745068 E745096:E745104 E745132:E745140 E745168:E745176 E745204:E745212 E745240:E745248 E745276:E745284 E745312:E745320 E745348:E745356 E745384:E745392 E745420:E745428 E745456:E745464 E745492:E745500 E745528:E745536 E745564:E745572 E745600:E745608 E745636:E745644 E745672:E745680 E745708:E745716 E745744:E745752 E745780:E745788 E745816:E745824 E745852:E745860 E745888:E745896 E745924:E745932 E745960:E745968 E745996:E746004 E746032:E746040 E746068:E746076 E746104:E746112 E746140:E746148 E746176:E746184 E746212:E746220 E746248:E746256 E746284:E746292 E746320:E746328 E746356:E746364 E746392:E746400 E746428:E746436 E746464:E746472 E746500:E746508 E746536:E746544 E746572:E746580 E746608:E746616 E746644:E746652 E746680:E746688 E746716:E746724 E746752:E746760 E746788:E746796 E746824:E746832 E746860:E746868 E746896:E746904 E746932:E746940 E746968:E746976 E747004:E747012 E747040:E747048 E747076:E747084 E747112:E747120 E747148:E747156 E747184:E747192 E747220:E747228 E747256:E747264 E747292:E747300 E747328:E747336 E747364:E747372 E747400:E747408 E747436:E747444 E747472:E747480 E747508:E747516 E747544:E747552 E747580:E747588 E747616:E747624 E747652:E747660 E747688:E747696 E747724:E747732 E747760:E747768 E747796:E747804 E747832:E747840 E747868:E747876 E747904:E747912 E747940:E747948 E747976:E747984 E748012:E748020 E748048:E748056 E748084:E748092 E748120:E748128 E748156:E748164 E748192:E748200 E748228:E748236 E748264:E748272 E748300:E748308 E748336:E748344 E748372:E748380 E748408:E748416 E748444:E748452 E748480:E748488 E748516:E748524 E748552:E748560 E748588:E748596 E748624:E748632 E748660:E748668 E748696:E748704 E748732:E748740 E748768:E748776 E748804:E748812 E748840:E748848 E748876:E748884 E748912:E748920 E748948:E748956 E748984:E748992 E749020:E749028 E749056:E749064 E749092:E749100 E749128:E749136 E749164:E749172 E749200:E749208 E749236:E749244 E749272:E749280 E749308:E749316 E749344:E749352 E749380:E749388 E749416:E749424 E749452:E749460 E749488:E749496 E749524:E749532 E749560:E749568 E749596:E749604 E749632:E749640 E749668:E749676 E749704:E749712 E749740:E749748 E749776:E749784 E749812:E749820 E749848:E749856 E749884:E749892 E749920:E749928 E749956:E749964 E749992:E750000 E750028:E750036 E750064:E750072 E750100:E750108 E750136:E750144 E750172:E750180 E750208:E750216 E750244:E750252 E750280:E750288 E750316:E750324 E750352:E750360 E750388:E750396 E750424:E750432 E750460:E750468 E750496:E750504 E750532:E750540 E750568:E750576 E750604:E750612 E750640:E750648 E750676:E750684 E750712:E750720 E750748:E750756 E750784:E750792 E750820:E750828 E750856:E750864 E750892:E750900 E750928:E750936 E750964:E750972 E751000:E751008 E751036:E751044 E751072:E751080 E751108:E751116 E751144:E751152 E751180:E751188 E751216:E751224 E751252:E751260 E751288:E751296 E751324:E751332 E751360:E751368 E751396:E751404 E751432:E751440 E751468:E751476 E751504:E751512 E751540:E751548 E751576:E751584 E751612:E751620 E751648:E751656 E751684:E751692 E751720:E751728 E751756:E751764 E751792:E751800 E751828:E751836 E751864:E751872 E751900:E751908 E751936:E751944 E751972:E751980 E752008:E752016 E752044:E752052 E752080:E752088 E752116:E752124 E752152:E752160 E752188:E752196 E752224:E752232 E752260:E752268 E752296:E752304 E752332:E752340 E752368:E752376 E752404:E752412 E752440:E752448 E752476:E752484 E752512:E752520 E752548:E752556 E752584:E752592 E752620:E752628 E752656:E752664 E752692:E752700 E752728:E752736 E752764:E752772 E752800:E752808 E752836:E752844 E752872:E752880 E752908:E752916 E752944:E752952 E752980:E752988 E753016:E753024 E753052:E753060 E753088:E753096 E753124:E753132 E753160:E753168 E753196:E753204 E753232:E753240 E753268:E753276 E753304:E753312 E753340:E753348 E753376:E753384 E753412:E753420 E753448:E753456 E753484:E753492 E753520:E753528 E753556:E753564 E753592:E753600 E753628:E753636 E753664:E753672 E753700:E753708 E753736:E753744 E753772:E753780 E753808:E753816 E753844:E753852 E753880:E753888 E753916:E753924 E753952:E753960 E753988:E753996 E754024:E754032 E754060:E754068 E754096:E754104 E754132:E754140 E754168:E754176 E754204:E754212 E754240:E754248 E754276:E754284 E754312:E754320 E754348:E754356 E754384:E754392 E754420:E754428 E754456:E754464 E754492:E754500 E754528:E754536 E754564:E754572 E754600:E754608 E754636:E754644 E754672:E754680 E754708:E754716 E754744:E754752 E754780:E754788 E754816:E754824 E754852:E754860 E754888:E754896 E754924:E754932 E754960:E754968 E754996:E755004 E755032:E755040 E755068:E755076 E755104:E755112 E755140:E755148 E755176:E755184 E755212:E755220 E755248:E755256 E755284:E755292 E755320:E755328 E755356:E755364 E755392:E755400 E755428:E755436 E755464:E755472 E755500:E755508 E755536:E755544 E755572:E755580 E755608:E755616 E755644:E755652 E755680:E755688 E755716:E755724 E755752:E755760 E755788:E755796 E755824:E755832 E755860:E755868 E755896:E755904 E755932:E755940 E755968:E755976 E756004:E756012 E756040:E756048 E756076:E756084 E756112:E756120 E756148:E756156 E756184:E756192 E756220:E756228 E756256:E756264 E756292:E756300 E756328:E756336 E756364:E756372 E756400:E756408 E756436:E756444 E756472:E756480 E756508:E756516 E756544:E756552 E756580:E756588 E756616:E756624 E756652:E756660 E756688:E756696 E756724:E756732 E756760:E756768 E756796:E756804 E756832:E756840 E756868:E756876 E756904:E756912 E756940:E756948 E756976:E756984 E757012:E757020 E757048:E757056 E757084:E757092 E757120:E757128 E757156:E757164 E757192:E757200 E757228:E757236 E757264:E757272 E757300:E757308 E757336:E757344 E757372:E757380 E757408:E757416 E757444:E757452 E757480:E757488 E757516:E757524 E757552:E757560 E757588:E757596 E757624:E757632 E757660:E757668 E757696:E757704 E757732:E757740 E757768:E757776 E757804:E757812 E757840:E757848 E757876:E757884 E757912:E757920 E757948:E757956 E757984:E757992 E758020:E758028 E758056:E758064 E758092:E758100 E758128:E758136 E758164:E758172 E758200:E758208 E758236:E758244 E758272:E758280 E758308:E758316 E758344:E758352 E758380:E758388 E758416:E758424 E758452:E758460 E758488:E758496 E758524:E758532 E758560:E758568 E758596:E758604 E758632:E758640 E758668:E758676 E758704:E758712 E758740:E758748 E758776:E758784 E758812:E758820 E758848:E758856 E758884:E758892 E758920:E758928 E758956:E758964 E758992:E759000 E759028:E759036 E759064:E759072 E759100:E759108 E759136:E759144 E759172:E759180 E759208:E759216 E759244:E759252 E759280:E759288 E759316:E759324 E759352:E759360 E759388:E759396 E759424:E759432 E759460:E759468 E759496:E759504 E759532:E759540 E759568:E759576 E759604:E759612 E759640:E759648 E759676:E759684 E759712:E759720 E759748:E759756 E759784:E759792 E759820:E759828 E759856:E759864 E759892:E759900 E759928:E759936 E759964:E759972 E760000:E760008 E760036:E760044 E760072:E760080 E760108:E760116 E760144:E760152 E760180:E760188 E760216:E760224 E760252:E760260 E760288:E760296 E760324:E760332 E760360:E760368 E760396:E760404 E760432:E760440 E760468:E760476 E760504:E760512 E760540:E760548 E760576:E760584 E760612:E760620 E760648:E760656 E760684:E760692 E760720:E760728 E760756:E760764 E760792:E760800 E760828:E760836 E760864:E760872 E760900:E760908 E760936:E760944 E760972:E760980 E761008:E761016 E761044:E761052 E761080:E761088 E761116:E761124 E761152:E761160 E761188:E761196 E761224:E761232 E761260:E761268 E761296:E761304 E761332:E761340 E761368:E761376 E761404:E761412 E761440:E761448 E761476:E761484 E761512:E761520 E761548:E761556 E761584:E761592 E761620:E761628 E761656:E761664 E761692:E761700 E761728:E761736 E761764:E761772 E761800:E761808 E761836:E761844 E761872:E761880 E761908:E761916 E761944:E761952 E761980:E761988 E762016:E762024 E762052:E762060 E762088:E762096 E762124:E762132 E762160:E762168 E762196:E762204 E762232:E762240 E762268:E762276 E762304:E762312 E762340:E762348 E762376:E762384 E762412:E762420 E762448:E762456 E762484:E762492 E762520:E762528 E762556:E762564 E762592:E762600 E762628:E762636 E762664:E762672 E762700:E762708 E762736:E762744 E762772:E762780 E762808:E762816 E762844:E762852 E762880:E762888 E762916:E762924 E762952:E762960 E762988:E762996 E763024:E763032 E763060:E763068 E763096:E763104 E763132:E763140 E763168:E763176 E763204:E763212 E763240:E763248 E763276:E763284 E763312:E763320 E763348:E763356 E763384:E763392 E763420:E763428 E763456:E763464 E763492:E763500 E763528:E763536 E763564:E763572 E763600:E763608 E763636:E763644 E763672:E763680 E763708:E763716 E763744:E763752 E763780:E763788 E763816:E763824 E763852:E763860 E763888:E763896 E763924:E763932 E763960:E763968 E763996:E764004 E764032:E764040 E764068:E764076 E764104:E764112 E764140:E764148 E764176:E764184 E764212:E764220 E764248:E764256 E764284:E764292 E764320:E764328 E764356:E764364 E764392:E764400 E764428:E764436 E764464:E764472 E764500:E764508 E764536:E764544 E764572:E764580 E764608:E764616 E764644:E764652 E764680:E764688 E764716:E764724 E764752:E764760 E764788:E764796 E764824:E764832 E764860:E764868 E764896:E764904 E764932:E764940 E764968:E764976 E765004:E765012 E765040:E765048 E765076:E765084 E765112:E765120 E765148:E765156 E765184:E765192 E765220:E765228 E765256:E765264 E765292:E765300 E765328:E765336 E765364:E765372 E765400:E765408 E765436:E765444 E765472:E765480 E765508:E765516 E765544:E765552 E765580:E765588 E765616:E765624 E765652:E765660 E765688:E765696 E765724:E765732 E765760:E765768 E765796:E765804 E765832:E765840 E765868:E765876 E765904:E765912 E765940:E765948 E765976:E765984 E766012:E766020 E766048:E766056 E766084:E766092 E766120:E766128 E766156:E766164 E766192:E766200 E766228:E766236 E766264:E766272 E766300:E766308 E766336:E766344 E766372:E766380 E766408:E766416 E766444:E766452 E766480:E766488 E766516:E766524 E766552:E766560 E766588:E766596 E766624:E766632 E766660:E766668 E766696:E766704 E766732:E766740 E766768:E766776 E766804:E766812 E766840:E766848 E766876:E766884 E766912:E766920 E766948:E766956 E766984:E766992 E767020:E767028 E767056:E767064 E767092:E767100 E767128:E767136 E767164:E767172 E767200:E767208 E767236:E767244 E767272:E767280 E767308:E767316 E767344:E767352 E767380:E767388 E767416:E767424 E767452:E767460 E767488:E767496 E767524:E767532 E767560:E767568 E767596:E767604 E767632:E767640 E767668:E767676 E767704:E767712 E767740:E767748 E767776:E767784 E767812:E767820 E767848:E767856 E767884:E767892 E767920:E767928 E767956:E767964 E767992:E768000 E768028:E768036 E768064:E768072 E768100:E768108 E768136:E768144 E768172:E768180 E768208:E768216 E768244:E768252 E768280:E768288 E768316:E768324 E768352:E768360 E768388:E768396 E768424:E768432 E768460:E768468 E768496:E768504 E768532:E768540 E768568:E768576 E768604:E768612 E768640:E768648 E768676:E768684 E768712:E768720 E768748:E768756 E768784:E768792 E768820:E768828 E768856:E768864 E768892:E768900 E768928:E768936 E768964:E768972 E769000:E769008 E769036:E769044 E769072:E769080 E769108:E769116 E769144:E769152 E769180:E769188 E769216:E769224 E769252:E769260 E769288:E769296 E769324:E769332 E769360:E769368 E769396:E769404 E769432:E769440 E769468:E769476 E769504:E769512 E769540:E769548 E769576:E769584 E769612:E769620 E769648:E769656 E769684:E769692 E769720:E769728 E769756:E769764 E769792:E769800 E769828:E769836 E769864:E769872 E769900:E769908 E769936:E769944 E769972:E769980 E770008:E770016 E770044:E770052 E770080:E770088 E770116:E770124 E770152:E770160 E770188:E770196 E770224:E770232 E770260:E770268 E770296:E770304 E770332:E770340 E770368:E770376 E770404:E770412 E770440:E770448 E770476:E770484 E770512:E770520 E770548:E770556 E770584:E770592 E770620:E770628 E770656:E770664 E770692:E770700 E770728:E770736 E770764:E770772 E770800:E770808 E770836:E770844 E770872:E770880 E770908:E770916 E770944:E770952 E770980:E770988 E771016:E771024 E771052:E771060 E771088:E771096 E771124:E771132 E771160:E771168 E771196:E771204 E771232:E771240 E771268:E771276 E771304:E771312 E771340:E771348 E771376:E771384 E771412:E771420 E771448:E771456 E771484:E771492 E771520:E771528 E771556:E771564 E771592:E771600 E771628:E771636 E771664:E771672 E771700:E771708 E771736:E771744 E771772:E771780 E771808:E771816 E771844:E771852 E771880:E771888 E771916:E771924 E771952:E771960 E771988:E771996 E772024:E772032 E772060:E772068 E772096:E772104 E772132:E772140 E772168:E772176 E772204:E772212 E772240:E772248 E772276:E772284 E772312:E772320 E772348:E772356 E772384:E772392 E772420:E772428 E772456:E772464 E772492:E772500 E772528:E772536 E772564:E772572 E772600:E772608 E772636:E772644 E772672:E772680 E772708:E772716 E772744:E772752 E772780:E772788 E772816:E772824 E772852:E772860 E772888:E772896 E772924:E772932 E772960:E772968 E772996:E773004 E773032:E773040 E773068:E773076 E773104:E773112 E773140:E773148 E773176:E773184 E773212:E773220 E773248:E773256 E773284:E773292 E773320:E773328 E773356:E773364 E773392:E773400 E773428:E773436 E773464:E773472 E773500:E773508 E773536:E773544 E773572:E773580 E773608:E773616 E773644:E773652 E773680:E773688 E773716:E773724 E773752:E773760 E773788:E773796 E773824:E773832 E773860:E773868 E773896:E773904 E773932:E773940 E773968:E773976 E774004:E774012 E774040:E774048 E774076:E774084 E774112:E774120 E774148:E774156 E774184:E774192 E774220:E774228 E774256:E774264 E774292:E774300 E774328:E774336 E774364:E774372 E774400:E774408 E774436:E774444 E774472:E774480 E774508:E774516 E774544:E774552 E774580:E774588 E774616:E774624 E774652:E774660 E774688:E774696 E774724:E774732 E774760:E774768 E774796:E774804 E774832:E774840 E774868:E774876 E774904:E774912 E774940:E774948 E774976:E774984 E775012:E775020 E775048:E775056 E775084:E775092 E775120:E775128 E775156:E775164 E775192:E775200 E775228:E775236 E775264:E775272 E775300:E775308 E775336:E775344 E775372:E775380 E775408:E775416 E775444:E775452 E775480:E775488 E775516:E775524 E775552:E775560 E775588:E775596 E775624:E775632 E775660:E775668 E775696:E775704 E775732:E775740 E775768:E775776 E775804:E775812 E775840:E775848 E775876:E775884 E775912:E775920 E775948:E775956 E775984:E775992 E776020:E776028 E776056:E776064 E776092:E776100 E776128:E776136 E776164:E776172 E776200:E776208 E776236:E776244 E776272:E776280 E776308:E776316 E776344:E776352 E776380:E776388 E776416:E776424 E776452:E776460 E776488:E776496 E776524:E776532 E776560:E776568 E776596:E776604 E776632:E776640 E776668:E776676 E776704:E776712 E776740:E776748 E776776:E776784 E776812:E776820 E776848:E776856 E776884:E776892 E776920:E776928 E776956:E776964 E776992:E777000 E777028:E777036 E777064:E777072 E777100:E777108 E777136:E777144 E777172:E777180 E777208:E777216 E777244:E777252 E777280:E777288 E777316:E777324 E777352:E777360 E777388:E777396 E777424:E777432 E777460:E777468 E777496:E777504 E777532:E777540 E777568:E777576 E777604:E777612 E777640:E777648 E777676:E777684 E777712:E777720 E777748:E777756 E777784:E777792 E777820:E777828 E777856:E777864 E777892:E777900 E777928:E777936 E777964:E777972 E778000:E778008 E778036:E778044 E778072:E778080 E778108:E778116 E778144:E778152 E778180:E778188 E778216:E778224 E778252:E778260 E778288:E778296 E778324:E778332 E778360:E778368 E778396:E778404 E778432:E778440 E778468:E778476 E778504:E778512 E778540:E778548 E778576:E778584 E778612:E778620 E778648:E778656 E778684:E778692 E778720:E778728 E778756:E778764 E778792:E778800 E778828:E778836 E778864:E778872 E778900:E778908 E778936:E778944 E778972:E778980 E779008:E779016 E779044:E779052 E779080:E779088 E779116:E779124 E779152:E779160 E779188:E779196 E779224:E779232 E779260:E779268 E779296:E779304 E779332:E779340 E779368:E779376 E779404:E779412 E779440:E779448 E779476:E779484 E779512:E779520 E779548:E779556 E779584:E779592 E779620:E779628 E779656:E779664 E779692:E779700 E779728:E779736 E779764:E779772 E779800:E779808 E779836:E779844 E779872:E779880 E779908:E779916 E779944:E779952 E779980:E779988 E780016:E780024 E780052:E780060 E780088:E780096 E780124:E780132 E780160:E780168 E780196:E780204 E780232:E780240 E780268:E780276 E780304:E780312 E780340:E780348 E780376:E780384 E780412:E780420 E780448:E780456 E780484:E780492 E780520:E780528 E780556:E780564 E780592:E780600 E780628:E780636 E780664:E780672 E780700:E780708 E780736:E780744 E780772:E780780 E780808:E780816 E780844:E780852 E780880:E780888 E780916:E780924 E780952:E780960 E780988:E780996 E781024:E781032 E781060:E781068 E781096:E781104 E781132:E781140 E781168:E781176 E781204:E781212 E781240:E781248 E781276:E781284 E781312:E781320 E781348:E781356 E781384:E781392 E781420:E781428 E781456:E781464 E781492:E781500 E781528:E781536 E781564:E781572 E781600:E781608 E781636:E781644 E781672:E781680 E781708:E781716 E781744:E781752 E781780:E781788 E781816:E781824 E781852:E781860 E781888:E781896 E781924:E781932 E781960:E781968 E781996:E782004 E782032:E782040 E782068:E782076 E782104:E782112 E782140:E782148 E782176:E782184 E782212:E782220 E782248:E782256 E782284:E782292 E782320:E782328 E782356:E782364 E782392:E782400 E782428:E782436 E782464:E782472 E782500:E782508 E782536:E782544 E782572:E782580 E782608:E782616 E782644:E782652 E782680:E782688 E782716:E782724 E782752:E782760 E782788:E782796 E782824:E782832 E782860:E782868 E782896:E782904 E782932:E782940 E782968:E782976 E783004:E783012 E783040:E783048 E783076:E783084 E783112:E783120 E783148:E783156 E783184:E783192 E783220:E783228 E783256:E783264 E783292:E783300 E783328:E783336 E783364:E783372 E783400:E783408 E783436:E783444 E783472:E783480 E783508:E783516 E783544:E783552 E783580:E783588 E783616:E783624 E783652:E783660 E783688:E783696 E783724:E783732 E783760:E783768 E783796:E783804 E783832:E783840 E783868:E783876 E783904:E783912 E783940:E783948 E783976:E783984 E784012:E784020 E784048:E784056 E784084:E784092 E784120:E784128 E784156:E784164 E784192:E784200 E784228:E784236 E784264:E784272 E784300:E784308 E784336:E784344 E784372:E784380 E784408:E784416 E784444:E784452 E784480:E784488 E784516:E784524 E784552:E784560 E784588:E784596 E784624:E784632 E784660:E784668 E784696:E784704 E784732:E784740 E784768:E784776 E784804:E784812 E784840:E784848 E784876:E784884 E784912:E784920 E784948:E784956 E784984:E784992 E785020:E785028 E785056:E785064 E785092:E785100 E785128:E785136 E785164:E785172 E785200:E785208 E785236:E785244 E785272:E785280 E785308:E785316 E785344:E785352 E785380:E785388 E785416:E785424 E785452:E785460 E785488:E785496 E785524:E785532 E785560:E785568 E785596:E785604 E785632:E785640 E785668:E785676 E785704:E785712 E785740:E785748 E785776:E785784 E785812:E785820 E785848:E785856 E785884:E785892 E785920:E785928 E785956:E785964 E785992:E786000 E786028:E786036 E786064:E786072 E786100:E786108 E786136:E786144 E786172:E786180 E786208:E786216 E786244:E786252 E786280:E786288 E786316:E786324 E786352:E786360 E786388:E786396 E786424:E786432 E786460:E786468 E786496:E786504 E786532:E786540 E786568:E786576 E786604:E786612 E786640:E786648 E786676:E786684 E786712:E786720 E786748:E786756 E786784:E786792 E786820:E786828 E786856:E786864 E786892:E786900 E786928:E786936 E786964:E786972 E787000:E787008 E787036:E787044 E787072:E787080 E787108:E787116 E787144:E787152 E787180:E787188 E787216:E787224 E787252:E787260 E787288:E787296 E787324:E787332 E787360:E787368 E787396:E787404 E787432:E787440 E787468:E787476 E787504:E787512 E787540:E787548 E787576:E787584 E787612:E787620 E787648:E787656 E787684:E787692 E787720:E787728 E787756:E787764 E787792:E787800 E787828:E787836 E787864:E787872 E787900:E787908 E787936:E787944 E787972:E787980 E788008:E788016 E788044:E788052 E788080:E788088 E788116:E788124 E788152:E788160 E788188:E788196 E788224:E788232 E788260:E788268 E788296:E788304 E788332:E788340 E788368:E788376 E788404:E788412 E788440:E788448 E788476:E788484 E788512:E788520 E788548:E788556 E788584:E788592 E788620:E788628 E788656:E788664 E788692:E788700 E788728:E788736 E788764:E788772 E788800:E788808 E788836:E788844 E788872:E788880 E788908:E788916 E788944:E788952 E788980:E788988 E789016:E789024 E789052:E789060 E789088:E789096 E789124:E789132 E789160:E789168 E789196:E789204 E789232:E789240 E789268:E789276 E789304:E789312 E789340:E789348 E789376:E789384 E789412:E789420 E789448:E789456 E789484:E789492 E789520:E789528 E789556:E789564 E789592:E789600 E789628:E789636 E789664:E789672 E789700:E789708 E789736:E789744 E789772:E789780 E789808:E789816 E789844:E789852 E789880:E789888 E789916:E789924 E789952:E789960 E789988:E789996 E790024:E790032 E790060:E790068 E790096:E790104 E790132:E790140 E790168:E790176 E790204:E790212 E790240:E790248 E790276:E790284 E790312:E790320 E790348:E790356 E790384:E790392 E790420:E790428 E790456:E790464 E790492:E790500 E790528:E790536 E790564:E790572 E790600:E790608 E790636:E790644 E790672:E790680 E790708:E790716 E790744:E790752 E790780:E790788 E790816:E790824 E790852:E790860 E790888:E790896 E790924:E790932 E790960:E790968 E790996:E791004 E791032:E791040 E791068:E791076 E791104:E791112 E791140:E791148 E791176:E791184 E791212:E791220 E791248:E791256 E791284:E791292 E791320:E791328 E791356:E791364 E791392:E791400 E791428:E791436 E791464:E791472 E791500:E791508 E791536:E791544 E791572:E791580 E791608:E791616 E791644:E791652 E791680:E791688 E791716:E791724 E791752:E791760 E791788:E791796 E791824:E791832 E791860:E791868 E791896:E791904 E791932:E791940 E791968:E791976 E792004:E792012 E792040:E792048 E792076:E792084 E792112:E792120 E792148:E792156 E792184:E792192 E792220:E792228 E792256:E792264 E792292:E792300 E792328:E792336 E792364:E792372 E792400:E792408 E792436:E792444 E792472:E792480 E792508:E792516 E792544:E792552 E792580:E792588 E792616:E792624 E792652:E792660 E792688:E792696 E792724:E792732 E792760:E792768 E792796:E792804 E792832:E792840 E792868:E792876 E792904:E792912 E792940:E792948 E792976:E792984 E793012:E793020 E793048:E793056 E793084:E793092 E793120:E793128 E793156:E793164 E793192:E793200 E793228:E793236 E793264:E793272 E793300:E793308 E793336:E793344 E793372:E793380 E793408:E793416 E793444:E793452 E793480:E793488 E793516:E793524 E793552:E793560 E793588:E793596 E793624:E793632 E793660:E793668 E793696:E793704 E793732:E793740 E793768:E793776 E793804:E793812 E793840:E793848 E793876:E793884 E793912:E793920 E793948:E793956 E793984:E793992 E794020:E794028 E794056:E794064 E794092:E794100 E794128:E794136 E794164:E794172 E794200:E794208 E794236:E794244 E794272:E794280 E794308:E794316 E794344:E794352 E794380:E794388 E794416:E794424 E794452:E794460 E794488:E794496 E794524:E794532 E794560:E794568 E794596:E794604 E794632:E794640 E794668:E794676 E794704:E794712 E794740:E794748 E794776:E794784 E794812:E794820 E794848:E794856 E794884:E794892 E794920:E794928 E794956:E794964 E794992:E795000 E795028:E795036 E795064:E795072 E795100:E795108 E795136:E795144 E795172:E795180 E795208:E795216 E795244:E795252 E795280:E795288 E795316:E795324 E795352:E795360 E795388:E795396 E795424:E795432 E795460:E795468 E795496:E795504 E795532:E795540 E795568:E795576 E795604:E795612 E795640:E795648 E795676:E795684 E795712:E795720 E795748:E795756 E795784:E795792 E795820:E795828 E795856:E795864 E795892:E795900 E795928:E795936 E795964:E795972 E796000:E796008 E796036:E796044 E796072:E796080 E796108:E796116 E796144:E796152 E796180:E796188 E796216:E796224 E796252:E796260 E796288:E796296 E796324:E796332 E796360:E796368 E796396:E796404 E796432:E796440 E796468:E796476 E796504:E796512 E796540:E796548 E796576:E796584 E796612:E796620 E796648:E796656 E796684:E796692 E796720:E796728 E796756:E796764 E796792:E796800 E796828:E796836 E796864:E796872 E796900:E796908 E796936:E796944 E796972:E796980 E797008:E797016 E797044:E797052 E797080:E797088 E797116:E797124 E797152:E797160 E797188:E797196 E797224:E797232 E797260:E797268 E797296:E797304 E797332:E797340 E797368:E797376 E797404:E797412 E797440:E797448 E797476:E797484 E797512:E797520 E797548:E797556 E797584:E797592 E797620:E797628 E797656:E797664 E797692:E797700 E797728:E797736 E797764:E797772 E797800:E797808 E797836:E797844 E797872:E797880 E797908:E797916 E797944:E797952 E797980:E797988 E798016:E798024 E798052:E798060 E798088:E798096 E798124:E798132 E798160:E798168 E798196:E798204 E798232:E798240 E798268:E798276 E798304:E798312 E798340:E798348 E798376:E798384 E798412:E798420 E798448:E798456 E798484:E798492 E798520:E798528 E798556:E798564 E798592:E798600 E798628:E798636 E798664:E798672 E798700:E798708 E798736:E798744 E798772:E798780 E798808:E798816 E798844:E798852 E798880:E798888 E798916:E798924 E798952:E798960 E798988:E798996 E799024:E799032 E799060:E799068 E799096:E799104 E799132:E799140 E799168:E799176 E799204:E799212 E799240:E799248 E799276:E799284 E799312:E799320 E799348:E799356 E799384:E799392 E799420:E799428 E799456:E799464 E799492:E799500 E799528:E799536 E799564:E799572 E799600:E799608 E799636:E799644 E799672:E799680 E799708:E799716 E799744:E799752 E799780:E799788 E799816:E799824 E799852:E799860 E799888:E799896 E799924:E799932 E799960:E799968 E799996:E800004 E800032:E800040 E800068:E800076 E800104:E800112 E800140:E800148 E800176:E800184 E800212:E800220 E800248:E800256 E800284:E800292 E800320:E800328 E800356:E800364 E800392:E800400 E800428:E800436 E800464:E800472 E800500:E800508 E800536:E800544 E800572:E800580 E800608:E800616 E800644:E800652 E800680:E800688 E800716:E800724 E800752:E800760 E800788:E800796 E800824:E800832 E800860:E800868 E800896:E800904 E800932:E800940 E800968:E800976 E801004:E801012 E801040:E801048 E801076:E801084 E801112:E801120 E801148:E801156 E801184:E801192 E801220:E801228 E801256:E801264 E801292:E801300 E801328:E801336 E801364:E801372 E801400:E801408 E801436:E801444 E801472:E801480 E801508:E801516 E801544:E801552 E801580:E801588 E801616:E801624 E801652:E801660 E801688:E801696 E801724:E801732 E801760:E801768 E801796:E801804 E801832:E801840 E801868:E801876 E801904:E801912 E801940:E801948 E801976:E801984 E802012:E802020 E802048:E802056 E802084:E802092 E802120:E802128 E802156:E802164 E802192:E802200 E802228:E802236 E802264:E802272 E802300:E802308 E802336:E802344 E802372:E802380 E802408:E802416 E802444:E802452 E802480:E802488 E802516:E802524 E802552:E802560 E802588:E802596 E802624:E802632 E802660:E802668 E802696:E802704 E802732:E802740 E802768:E802776 E802804:E802812 E802840:E802848 E802876:E802884 E802912:E802920 E802948:E802956 E802984:E802992 E803020:E803028 E803056:E803064 E803092:E803100 E803128:E803136 E803164:E803172 E803200:E803208 E803236:E803244 E803272:E803280 E803308:E803316 E803344:E803352 E803380:E803388 E803416:E803424 E803452:E803460 E803488:E803496 E803524:E803532 E803560:E803568 E803596:E803604 E803632:E803640 E803668:E803676 E803704:E803712 E803740:E803748 E803776:E803784 E803812:E803820 E803848:E803856 E803884:E803892 E803920:E803928 E803956:E803964 E803992:E804000 E804028:E804036 E804064:E804072 E804100:E804108 E804136:E804144 E804172:E804180 E804208:E804216 E804244:E804252 E804280:E804288 E804316:E804324 E804352:E804360 E804388:E804396 E804424:E804432 E804460:E804468 E804496:E804504 E804532:E804540 E804568:E804576 E804604:E804612 E804640:E804648 E804676:E804684 E804712:E804720 E804748:E804756 E804784:E804792 E804820:E804828 E804856:E804864 E804892:E804900 E804928:E804936 E804964:E804972 E805000:E805008 E805036:E805044 E805072:E805080 E805108:E805116 E805144:E805152 E805180:E805188 E805216:E805224 E805252:E805260 E805288:E805296 E805324:E805332 E805360:E805368 E805396:E805404 E805432:E805440 E805468:E805476 E805504:E805512 E805540:E805548 E805576:E805584 E805612:E805620 E805648:E805656 E805684:E805692 E805720:E805728 E805756:E805764 E805792:E805800 E805828:E805836 E805864:E805872 E805900:E805908 E805936:E805944 E805972:E805980 E806008:E806016 E806044:E806052 E806080:E806088 E806116:E806124 E806152:E806160 E806188:E806196 E806224:E806232 E806260:E806268 E806296:E806304 E806332:E806340 E806368:E806376 E806404:E806412 E806440:E806448 E806476:E806484 E806512:E806520 E806548:E806556 E806584:E806592 E806620:E806628 E806656:E806664 E806692:E806700 E806728:E806736 E806764:E806772 E806800:E806808 E806836:E806844 E806872:E806880 E806908:E806916 E806944:E806952 E806980:E806988 E807016:E807024 E807052:E807060 E807088:E807096 E807124:E807132 E807160:E807168 E807196:E807204 E807232:E807240 E807268:E807276 E807304:E807312 E807340:E807348 E807376:E807384 E807412:E807420 E807448:E807456 E807484:E807492 E807520:E807528 E807556:E807564 E807592:E807600 E807628:E807636 E807664:E807672 E807700:E807708 E807736:E807744 E807772:E807780 E807808:E807816 E807844:E807852 E807880:E807888 E807916:E807924 E807952:E807960 E807988:E807996 E808024:E808032 E808060:E808068 E808096:E808104 E808132:E808140 E808168:E808176 E808204:E808212 E808240:E808248 E808276:E808284 E808312:E808320 E808348:E808356 E808384:E808392 E808420:E808428 E808456:E808464 E808492:E808500 E808528:E808536 E808564:E808572 E808600:E808608 E808636:E808644 E808672:E808680 E808708:E808716 E808744:E808752 E808780:E808788 E808816:E808824 E808852:E808860 E808888:E808896 E808924:E808932 E808960:E808968 E808996:E809004 E809032:E809040 E809068:E809076 E809104:E809112 E809140:E809148 E809176:E809184 E809212:E809220 E809248:E809256 E809284:E809292 E809320:E809328 E809356:E809364 E809392:E809400 E809428:E809436 E809464:E809472 E809500:E809508 E809536:E809544 E809572:E809580 E809608:E809616 E809644:E809652 E809680:E809688 E809716:E809724 E809752:E809760 E809788:E809796 E809824:E809832 E809860:E809868 E809896:E809904 E809932:E809940 E809968:E809976 E810004:E810012 E810040:E810048 E810076:E810084 E810112:E810120 E810148:E810156 E810184:E810192 E810220:E810228 E810256:E810264 E810292:E810300 E810328:E810336 E810364:E810372 E810400:E810408 E810436:E810444 E810472:E810480 E810508:E810516 E810544:E810552 E810580:E810588 E810616:E810624 E810652:E810660 E810688:E810696 E810724:E810732 E810760:E810768 E810796:E810804 E810832:E810840 E810868:E810876 E810904:E810912 E810940:E810948 E810976:E810984 E811012:E811020 E811048:E811056 E811084:E811092 E811120:E811128 E811156:E811164 E811192:E811200 E811228:E811236 E811264:E811272 E811300:E811308 E811336:E811344 E811372:E811380 E811408:E811416 E811444:E811452 E811480:E811488 E811516:E811524 E811552:E811560 E811588:E811596 E811624:E811632 E811660:E811668 E811696:E811704 E811732:E811740 E811768:E811776 E811804:E811812 E811840:E811848 E811876:E811884 E811912:E811920 E811948:E811956 E811984:E811992 E812020:E812028 E812056:E812064 E812092:E812100 E812128:E812136 E812164:E812172 E812200:E812208 E812236:E812244 E812272:E812280 E812308:E812316 E812344:E812352 E812380:E812388 E812416:E812424 E812452:E812460 E812488:E812496 E812524:E812532 E812560:E812568 E812596:E812604 E812632:E812640 E812668:E812676 E812704:E812712 E812740:E812748 E812776:E812784 E812812:E812820 E812848:E812856 E812884:E812892 E812920:E812928 E812956:E812964 E812992:E813000 E813028:E813036 E813064:E813072 E813100:E813108 E813136:E813144 E813172:E813180 E813208:E813216 E813244:E813252 E813280:E813288 E813316:E813324 E813352:E813360 E813388:E813396 E813424:E813432 E813460:E813468 E813496:E813504 E813532:E813540 E813568:E813576 E813604:E813612 E813640:E813648 E813676:E813684 E813712:E813720 E813748:E813756 E813784:E813792 E813820:E813828 E813856:E813864 E813892:E813900 E813928:E813936 E813964:E813972 E814000:E814008 E814036:E814044 E814072:E814080 E814108:E814116 E814144:E814152 E814180:E814188 E814216:E814224 E814252:E814260 E814288:E814296 E814324:E814332 E814360:E814368 E814396:E814404 E814432:E814440 E814468:E814476 E814504:E814512 E814540:E814548 E814576:E814584 E814612:E814620 E814648:E814656 E814684:E814692 E814720:E814728 E814756:E814764 E814792:E814800 E814828:E814836 E814864:E814872 E814900:E814908 E814936:E814944 E814972:E814980 E815008:E815016 E815044:E815052 E815080:E815088 E815116:E815124 E815152:E815160 E815188:E815196 E815224:E815232 E815260:E815268 E815296:E815304 E815332:E815340 E815368:E815376 E815404:E815412 E815440:E815448 E815476:E815484 E815512:E815520 E815548:E815556 E815584:E815592 E815620:E815628 E815656:E815664 E815692:E815700 E815728:E815736 E815764:E815772 E815800:E815808 E815836:E815844 E815872:E815880 E815908:E815916 E815944:E815952 E815980:E815988 E816016:E816024 E816052:E816060 E816088:E816096 E816124:E816132 E816160:E816168 E816196:E816204 E816232:E816240 E816268:E816276 E816304:E816312 E816340:E816348 E816376:E816384 E816412:E816420 E816448:E816456 E816484:E816492 E816520:E816528 E816556:E816564 E816592:E816600 E816628:E816636 E816664:E816672 E816700:E816708 E816736:E816744 E816772:E816780 E816808:E816816 E816844:E816852 E816880:E816888 E816916:E816924 E816952:E816960 E816988:E816996 E817024:E817032 E817060:E817068 E817096:E817104 E817132:E817140 E817168:E817176 E817204:E817212 E817240:E817248 E817276:E817284 E817312:E817320 E817348:E817356 E817384:E817392 E817420:E817428 E817456:E817464 E817492:E817500 E817528:E817536 E817564:E817572 E817600:E817608 E817636:E817644 E817672:E817680 E817708:E817716 E817744:E817752 E817780:E817788 E817816:E817824 E817852:E817860 E817888:E817896 E817924:E817932 E817960:E817968 E817996:E818004 E818032:E818040 E818068:E818076 E818104:E818112 E818140:E818148 E818176:E818184 E818212:E818220 E818248:E818256 E818284:E818292 E818320:E818328 E818356:E818364 E818392:E818400 E818428:E818436 E818464:E818472 E818500:E818508 E818536:E818544 E818572:E818580 E818608:E818616 E818644:E818652 E818680:E818688 E818716:E818724 E818752:E818760 E818788:E818796 E818824:E818832 E818860:E818868 E818896:E818904 E818932:E818940 E818968:E818976 E819004:E819012 E819040:E819048 E819076:E819084 E819112:E819120 E819148:E819156 E819184:E819192 E819220:E819228 E819256:E819264 E819292:E819300 E819328:E819336 E819364:E819372 E819400:E819408 E819436:E819444 E819472:E819480 E819508:E819516 E819544:E819552 E819580:E819588 E819616:E819624 E819652:E819660 E819688:E819696 E819724:E819732 E819760:E819768 E819796:E819804 E819832:E819840 E819868:E819876 E819904:E819912 E819940:E819948 E819976:E819984 E820012:E820020 E820048:E820056 E820084:E820092 E820120:E820128 E820156:E820164 E820192:E820200 E820228:E820236 E820264:E820272 E820300:E820308 E820336:E820344 E820372:E820380 E820408:E820416 E820444:E820452 E820480:E820488 E820516:E820524 E820552:E820560 E820588:E820596 E820624:E820632 E820660:E820668 E820696:E820704 E820732:E820740 E820768:E820776 E820804:E820812 E820840:E820848 E820876:E820884 E820912:E820920 E820948:E820956 E820984:E820992 E821020:E821028 E821056:E821064 E821092:E821100 E821128:E821136 E821164:E821172 E821200:E821208 E821236:E821244 E821272:E821280 E821308:E821316 E821344:E821352 E821380:E821388 E821416:E821424 E821452:E821460 E821488:E821496 E821524:E821532 E821560:E821568 E821596:E821604 E821632:E821640 E821668:E821676 E821704:E821712 E821740:E821748 E821776:E821784 E821812:E821820 E821848:E821856 E821884:E821892 E821920:E821928 E821956:E821964 E821992:E822000 E822028:E822036 E822064:E822072 E822100:E822108 E822136:E822144 E822172:E822180 E822208:E822216 E822244:E822252 E822280:E822288 E822316:E822324 E822352:E822360 E822388:E822396 E822424:E822432 E822460:E822468 E822496:E822504 E822532:E822540 E822568:E822576 E822604:E822612 E822640:E822648 E822676:E822684 E822712:E822720 E822748:E822756 E822784:E822792 E822820:E822828 E822856:E822864 E822892:E822900 E822928:E822936 E822964:E822972 E823000:E823008 E823036:E823044 E823072:E823080 E823108:E823116 E823144:E823152 E823180:E823188 E823216:E823224 E823252:E823260 E823288:E823296 E823324:E823332 E823360:E823368 E823396:E823404 E823432:E823440 E823468:E823476 E823504:E823512 E823540:E823548 E823576:E823584 E823612:E823620 E823648:E823656 E823684:E823692 E823720:E823728 E823756:E823764 E823792:E823800 E823828:E823836 E823864:E823872 E823900:E823908 E823936:E823944 E823972:E823980 E824008:E824016 E824044:E824052 E824080:E824088 E824116:E824124 E824152:E824160 E824188:E824196 E824224:E824232 E824260:E824268 E824296:E824304 E824332:E824340 E824368:E824376 E824404:E824412 E824440:E824448 E824476:E824484 E824512:E824520 E824548:E824556 E824584:E824592 E824620:E824628 E824656:E824664 E824692:E824700 E824728:E824736 E824764:E824772 E824800:E824808 E824836:E824844 E824872:E824880 E824908:E824916 E824944:E824952 E824980:E824988 E825016:E825024 E825052:E825060 E825088:E825096 E825124:E825132 E825160:E825168 E825196:E825204 E825232:E825240 E825268:E825276 E825304:E825312 E825340:E825348 E825376:E825384 E825412:E825420 E825448:E825456 E825484:E825492 E825520:E825528 E825556:E825564 E825592:E825600 E825628:E825636 E825664:E825672 E825700:E825708 E825736:E825744 E825772:E825780 E825808:E825816 E825844:E825852 E825880:E825888 E825916:E825924 E825952:E825960 E825988:E825996 E826024:E826032 E826060:E826068 E826096:E826104 E826132:E826140 E826168:E826176 E826204:E826212 E826240:E826248 E826276:E826284 E826312:E826320 E826348:E826356 E826384:E826392 E826420:E826428 E826456:E826464 E826492:E826500 E826528:E826536 E826564:E826572 E826600:E826608 E826636:E826644 E826672:E826680 E826708:E826716 E826744:E826752 E826780:E826788 E826816:E826824 E826852:E826860 E826888:E826896 E826924:E826932 E826960:E826968 E826996:E827004 E827032:E827040 E827068:E827076 E827104:E827112 E827140:E827148 E827176:E827184 E827212:E827220 E827248:E827256 E827284:E827292 E827320:E827328 E827356:E827364 E827392:E827400 E827428:E827436 E827464:E827472 E827500:E827508 E827536:E827544 E827572:E827580 E827608:E827616 E827644:E827652 E827680:E827688 E827716:E827724 E827752:E827760 E827788:E827796 E827824:E827832 E827860:E827868 E827896:E827904 E827932:E827940 E827968:E827976 E828004:E828012 E828040:E828048 E828076:E828084 E828112:E828120 E828148:E828156 E828184:E828192 E828220:E828228 E828256:E828264 E828292:E828300 E828328:E828336 E828364:E828372 E828400:E828408 E828436:E828444 E828472:E828480 E828508:E828516 E828544:E828552 E828580:E828588 E828616:E828624 E828652:E828660 E828688:E828696 E828724:E828732 E828760:E828768 E828796:E828804 E828832:E828840 E828868:E828876 E828904:E828912 E828940:E828948 E828976:E828984 E829012:E829020 E829048:E829056 E829084:E829092 E829120:E829128 E829156:E829164 E829192:E829200 E829228:E829236 E829264:E829272 E829300:E829308 E829336:E829344 E829372:E829380 E829408:E829416 E829444:E829452 E829480:E829488 E829516:E829524 E829552:E829560 E829588:E829596 E829624:E829632 E829660:E829668 E829696:E829704 E829732:E829740 E829768:E829776 E829804:E829812 E829840:E829848 E829876:E829884 E829912:E829920 E829948:E829956 E829984:E829992 E830020:E830028 E830056:E830064 E830092:E830100 E830128:E830136 E830164:E830172 E830200:E830208 E830236:E830244 E830272:E830280 E830308:E830316 E830344:E830352 E830380:E830388 E830416:E830424 E830452:E830460 E830488:E830496 E830524:E830532 E830560:E830568 E830596:E830604 E830632:E830640 E830668:E830676 E830704:E830712 E830740:E830748 E830776:E830784 E830812:E830820 E830848:E830856 E830884:E830892 E830920:E830928 E830956:E830964 E830992:E831000 E831028:E831036 E831064:E831072 E831100:E831108 E831136:E831144 E831172:E831180 E831208:E831216 E831244:E831252 E831280:E831288 E831316:E831324 E831352:E831360 E831388:E831396 E831424:E831432 E831460:E831468 E831496:E831504 E831532:E831540 E831568:E831576 E831604:E831612 E831640:E831648 E831676:E831684 E831712:E831720 E831748:E831756 E831784:E831792 E831820:E831828 E831856:E831864 E831892:E831900 E831928:E831936 E831964:E831972 E832000:E832008 E832036:E832044 E832072:E832080 E832108:E832116 E832144:E832152 E832180:E832188 E832216:E832224 E832252:E832260 E832288:E832296 E832324:E832332 E832360:E832368 E832396:E832404 E832432:E832440 E832468:E832476 E832504:E832512 E832540:E832548 E832576:E832584 E832612:E832620 E832648:E832656 E832684:E832692 E832720:E832728 E832756:E832764 E832792:E832800 E832828:E832836 E832864:E832872 E832900:E832908 E832936:E832944 E832972:E832980 E833008:E833016 E833044:E833052 E833080:E833088 E833116:E833124 E833152:E833160 E833188:E833196 E833224:E833232 E833260:E833268 E833296:E833304 E833332:E833340 E833368:E833376 E833404:E833412 E833440:E833448 E833476:E833484 E833512:E833520 E833548:E833556 E833584:E833592 E833620:E833628 E833656:E833664 E833692:E833700 E833728:E833736 E833764:E833772 E833800:E833808 E833836:E833844 E833872:E833880 E833908:E833916 E833944:E833952 E833980:E833988 E834016:E834024 E834052:E834060 E834088:E834096 E834124:E834132 E834160:E834168 E834196:E834204 E834232:E834240 E834268:E834276 E834304:E834312 E834340:E834348 E834376:E834384 E834412:E834420 E834448:E834456 E834484:E834492 E834520:E834528 E834556:E834564 E834592:E834600 E834628:E834636 E834664:E834672 E834700:E834708 E834736:E834744 E834772:E834780 E834808:E834816 E834844:E834852 E834880:E834888 E834916:E834924 E834952:E834960 E834988:E834996 E835024:E835032 E835060:E835068 E835096:E835104 E835132:E835140 E835168:E835176 E835204:E835212 E835240:E835248 E835276:E835284 E835312:E835320 E835348:E835356 E835384:E835392 E835420:E835428 E835456:E835464 E835492:E835500 E835528:E835536 E835564:E835572 E835600:E835608 E835636:E835644 E835672:E835680 E835708:E835716 E835744:E835752 E835780:E835788 E835816:E835824 E835852:E835860 E835888:E835896 E835924:E835932 E835960:E835968 E835996:E836004 E836032:E836040 E836068:E836076 E836104:E836112 E836140:E836148 E836176:E836184 E836212:E836220 E836248:E836256 E836284:E836292 E836320:E836328 E836356:E836364 E836392:E836400 E836428:E836436 E836464:E836472 E836500:E836508 E836536:E836544 E836572:E836580 E836608:E836616 E836644:E836652 E836680:E836688 E836716:E836724 E836752:E836760 E836788:E836796 E836824:E836832 E836860:E836868 E836896:E836904 E836932:E836940 E836968:E836976 E837004:E837012 E837040:E837048 E837076:E837084 E837112:E837120 E837148:E837156 E837184:E837192 E837220:E837228 E837256:E837264 E837292:E837300 E837328:E837336 E837364:E837372 E837400:E837408 E837436:E837444 E837472:E837480 E837508:E837516 E837544:E837552 E837580:E837588 E837616:E837624 E837652:E837660 E837688:E837696 E837724:E837732 E837760:E837768 E837796:E837804 E837832:E837840 E837868:E837876 E837904:E837912 E837940:E837948 E837976:E837984 E838012:E838020 E838048:E838056 E838084:E838092 E838120:E838128 E838156:E838164 E838192:E838200 E838228:E838236 E838264:E838272 E838300:E838308 E838336:E838344 E838372:E838380 E838408:E838416 E838444:E838452 E838480:E838488 E838516:E838524 E838552:E838560 E838588:E838596 E838624:E838632 E838660:E838668 E838696:E838704 E838732:E838740 E838768:E838776 E838804:E838812 E838840:E838848 E838876:E838884 E838912:E838920 E838948:E838956 E838984:E838992 E839020:E839028 E839056:E839064 E839092:E839100 E839128:E839136 E839164:E839172 E839200:E839208 E839236:E839244 E839272:E839280 E839308:E839316 E839344:E839352 E839380:E839388 E839416:E839424 E839452:E839460 E839488:E839496 E839524:E839532 E839560:E839568 E839596:E839604 E839632:E839640 E839668:E839676 E839704:E839712 E839740:E839748 E839776:E839784 E839812:E839820 E839848:E839856 E839884:E839892 E839920:E839928 E839956:E839964 E839992:E840000 E840028:E840036 E840064:E840072 E840100:E840108 E840136:E840144 E840172:E840180 E840208:E840216 E840244:E840252 E840280:E840288 E840316:E840324 E840352:E840360 E840388:E840396 E840424:E840432 E840460:E840468 E840496:E840504 E840532:E840540 E840568:E840576 E840604:E840612 E840640:E840648 E840676:E840684 E840712:E840720 E840748:E840756 E840784:E840792 E840820:E840828 E840856:E840864 E840892:E840900 E840928:E840936 E840964:E840972 E841000:E841008 E841036:E841044 E841072:E841080 E841108:E841116 E841144:E841152 E841180:E841188 E841216:E841224 E841252:E841260 E841288:E841296 E841324:E841332 E841360:E841368 E841396:E841404 E841432:E841440 E841468:E841476 E841504:E841512 E841540:E841548 E841576:E841584 E841612:E841620 E841648:E841656 E841684:E841692 E841720:E841728 E841756:E841764 E841792:E841800 E841828:E841836 E841864:E841872 E841900:E841908 E841936:E841944 E841972:E841980 E842008:E842016 E842044:E842052 E842080:E842088 E842116:E842124 E842152:E842160 E842188:E842196 E842224:E842232 E842260:E842268 E842296:E842304 E842332:E842340 E842368:E842376 E842404:E842412 E842440:E842448 E842476:E842484 E842512:E842520 E842548:E842556 E842584:E842592 E842620:E842628 E842656:E842664 E842692:E842700 E842728:E842736 E842764:E842772 E842800:E842808 E842836:E842844 E842872:E842880 E842908:E842916 E842944:E842952 E842980:E842988 E843016:E843024 E843052:E843060 E843088:E843096 E843124:E843132 E843160:E843168 E843196:E843204 E843232:E843240 E843268:E843276 E843304:E843312 E843340:E843348 E843376:E843384 E843412:E843420 E843448:E843456 E843484:E843492 E843520:E843528 E843556:E843564 E843592:E843600 E843628:E843636 E843664:E843672 E843700:E843708 E843736:E843744 E843772:E843780 E843808:E843816 E843844:E843852 E843880:E843888 E843916:E843924 E843952:E843960 E843988:E843996 E844024:E844032 E844060:E844068 E844096:E844104 E844132:E844140 E844168:E844176 E844204:E844212 E844240:E844248 E844276:E844284 E844312:E844320 E844348:E844356 E844384:E844392 E844420:E844428 E844456:E844464 E844492:E844500 E844528:E844536 E844564:E844572 E844600:E844608 E844636:E844644 E844672:E844680 E844708:E844716 E844744:E844752 E844780:E844788 E844816:E844824 E844852:E844860 E844888:E844896 E844924:E844932 E844960:E844968 E844996:E845004 E845032:E845040 E845068:E845076 E845104:E845112 E845140:E845148 E845176:E845184 E845212:E845220 E845248:E845256 E845284:E845292 E845320:E845328 E845356:E845364 E845392:E845400 E845428:E845436 E845464:E845472 E845500:E845508 E845536:E845544 E845572:E845580 E845608:E845616 E845644:E845652 E845680:E845688 E845716:E845724 E845752:E845760 E845788:E845796 E845824:E845832 E845860:E845868 E845896:E845904 E845932:E845940 E845968:E845976 E846004:E846012 E846040:E846048 E846076:E846084 E846112:E846120 E846148:E846156 E846184:E846192 E846220:E846228 E846256:E846264 E846292:E846300 E846328:E846336 E846364:E846372 E846400:E846408 E846436:E846444 E846472:E846480 E846508:E846516 E846544:E846552 E846580:E846588 E846616:E846624 E846652:E846660 E846688:E846696 E846724:E846732 E846760:E846768 E846796:E846804 E846832:E846840 E846868:E846876 E846904:E846912 E846940:E846948 E846976:E846984 E847012:E847020 E847048:E847056 E847084:E847092 E847120:E847128 E847156:E847164 E847192:E847200 E847228:E847236 E847264:E847272 E847300:E847308 E847336:E847344 E847372:E847380 E847408:E847416 E847444:E847452 E847480:E847488 E847516:E847524 E847552:E847560 E847588:E847596 E847624:E847632 E847660:E847668 E847696:E847704 E847732:E847740 E847768:E847776 E847804:E847812 E847840:E847848 E847876:E847884 E847912:E847920 E847948:E847956 E847984:E847992 E848020:E848028 E848056:E848064 E848092:E848100 E848128:E848136 E848164:E848172 E848200:E848208 E848236:E848244 E848272:E848280 E848308:E848316 E848344:E848352 E848380:E848388 E848416:E848424 E848452:E848460 E848488:E848496 E848524:E848532 E848560:E848568 E848596:E848604 E848632:E848640 E848668:E848676 E848704:E848712 E848740:E848748 E848776:E848784 E848812:E848820 E848848:E848856 E848884:E848892 E848920:E848928 E848956:E848964 E848992:E849000 E849028:E849036 E849064:E849072 E849100:E849108 E849136:E849144 E849172:E849180 E849208:E849216 E849244:E849252 E849280:E849288 E849316:E849324 E849352:E849360 E849388:E849396 E849424:E849432 E849460:E849468 E849496:E849504 E849532:E849540 E849568:E849576 E849604:E849612 E849640:E849648 E849676:E849684 E849712:E849720 E849748:E849756 E849784:E849792 E849820:E849828 E849856:E849864 E849892:E849900 E849928:E849936 E849964:E849972 E850000:E850008 E850036:E850044 E850072:E850080 E850108:E850116 E850144:E850152 E850180:E850188 E850216:E850224 E850252:E850260 E850288:E850296 E850324:E850332 E850360:E850368 E850396:E850404 E850432:E850440 E850468:E850476 E850504:E850512 E850540:E850548 E850576:E850584 E850612:E850620 E850648:E850656 E850684:E850692 E850720:E850728 E850756:E850764 E850792:E850800 E850828:E850836 E850864:E850872 E850900:E850908 E850936:E850944 E850972:E850980 E851008:E851016 E851044:E851052 E851080:E851088 E851116:E851124 E851152:E851160 E851188:E851196 E851224:E851232 E851260:E851268 E851296:E851304 E851332:E851340 E851368:E851376 E851404:E851412 E851440:E851448 E851476:E851484 E851512:E851520 E851548:E851556 E851584:E851592 E851620:E851628 E851656:E851664 E851692:E851700 E851728:E851736 E851764:E851772 E851800:E851808 E851836:E851844 E851872:E851880 E851908:E851916 E851944:E851952 E851980:E851988 E852016:E852024 E852052:E852060 E852088:E852096 E852124:E852132 E852160:E852168 E852196:E852204 E852232:E852240 E852268:E852276 E852304:E852312 E852340:E852348 E852376:E852384 E852412:E852420 E852448:E852456 E852484:E852492 E852520:E852528 E852556:E852564 E852592:E852600 E852628:E852636 E852664:E852672 E852700:E852708 E852736:E852744 E852772:E852780 E852808:E852816 E852844:E852852 E852880:E852888 E852916:E852924 E852952:E852960 E852988:E852996 E853024:E853032 E853060:E853068 E853096:E853104 E853132:E853140 E853168:E853176 E853204:E853212 E853240:E853248 E853276:E853284 E853312:E853320 E853348:E853356 E853384:E853392 E853420:E853428 E853456:E853464 E853492:E853500 E853528:E853536 E853564:E853572 E853600:E853608 E853636:E853644 E853672:E853680 E853708:E853716 E853744:E853752 E853780:E853788 E853816:E853824 E853852:E853860 E853888:E853896 E853924:E853932 E853960:E853968 E853996:E854004 E854032:E854040 E854068:E854076 E854104:E854112 E854140:E854148 E854176:E854184 E854212:E854220 E854248:E854256 E854284:E854292 E854320:E854328 E854356:E854364 E854392:E854400 E854428:E854436 E854464:E854472 E854500:E854508 E854536:E854544 E854572:E854580 E854608:E854616 E854644:E854652 E854680:E854688 E854716:E854724 E854752:E854760 E854788:E854796 E854824:E854832 E854860:E854868 E854896:E854904 E854932:E854940 E854968:E854976 E855004:E855012 E855040:E855048 E855076:E855084 E855112:E855120 E855148:E855156 E855184:E855192 E855220:E855228 E855256:E855264 E855292:E855300 E855328:E855336 E855364:E855372 E855400:E855408 E855436:E855444 E855472:E855480 E855508:E855516 E855544:E855552 E855580:E855588 E855616:E855624 E855652:E855660 E855688:E855696 E855724:E855732 E855760:E855768 E855796:E855804 E855832:E855840 E855868:E855876 E855904:E855912 E855940:E855948 E855976:E855984 E856012:E856020 E856048:E856056 E856084:E856092 E856120:E856128 E856156:E856164 E856192:E856200 E856228:E856236 E856264:E856272 E856300:E856308 E856336:E856344 E856372:E856380 E856408:E856416 E856444:E856452 E856480:E856488 E856516:E856524 E856552:E856560 E856588:E856596 E856624:E856632 E856660:E856668 E856696:E856704 E856732:E856740 E856768:E856776 E856804:E856812 E856840:E856848 E856876:E856884 E856912:E856920 E856948:E856956 E856984:E856992 E857020:E857028 E857056:E857064 E857092:E857100 E857128:E857136 E857164:E857172 E857200:E857208 E857236:E857244 E857272:E857280 E857308:E857316 E857344:E857352 E857380:E857388 E857416:E857424 E857452:E857460 E857488:E857496 E857524:E857532 E857560:E857568 E857596:E857604 E857632:E857640 E857668:E857676 E857704:E857712 E857740:E857748 E857776:E857784 E857812:E857820 E857848:E857856 E857884:E857892 E857920:E857928 E857956:E857964 E857992:E858000 E858028:E858036 E858064:E858072 E858100:E858108 E858136:E858144 E858172:E858180 E858208:E858216 E858244:E858252 E858280:E858288 E858316:E858324 E858352:E858360 E858388:E858396 E858424:E858432 E858460:E858468 E858496:E858504 E858532:E858540 E858568:E858576 E858604:E858612 E858640:E858648 E858676:E858684 E858712:E858720 E858748:E858756 E858784:E858792 E858820:E858828 E858856:E858864 E858892:E858900 E858928:E858936 E858964:E858972 E859000:E859008 E859036:E859044 E859072:E859080 E859108:E859116 E859144:E859152 E859180:E859188 E859216:E859224 E859252:E859260 E859288:E859296 E859324:E859332 E859360:E859368 E859396:E859404 E859432:E859440 E859468:E859476 E859504:E859512 E859540:E859548 E859576:E859584 E859612:E859620 E859648:E859656 E859684:E859692 E859720:E859728 E859756:E859764 E859792:E859800 E859828:E859836 E859864:E859872 E859900:E859908 E859936:E859944 E859972:E859980 E860008:E860016 E860044:E860052 E860080:E860088 E860116:E860124 E860152:E860160 E860188:E860196 E860224:E860232 E860260:E860268 E860296:E860304 E860332:E860340 E860368:E860376 E860404:E860412 E860440:E860448 E860476:E860484 E860512:E860520 E860548:E860556 E860584:E860592 E860620:E860628 E860656:E860664 E860692:E860700 E860728:E860736 E860764:E860772 E860800:E860808 E860836:E860844 E860872:E860880 E860908:E860916 E860944:E860952 E860980:E860988 E861016:E861024 E861052:E861060 E861088:E861096 E861124:E861132 E861160:E861168 E861196:E861204 E861232:E861240 E861268:E861276 E861304:E861312 E861340:E861348 E861376:E861384 E861412:E861420 E861448:E861456 E861484:E861492 E861520:E861528 E861556:E861564 E861592:E861600 E861628:E861636 E861664:E861672 E861700:E861708 E861736:E861744 E861772:E861780 E861808:E861816 E861844:E861852 E861880:E861888 E861916:E861924 E861952:E861960 E861988:E861996 E862024:E862032 E862060:E862068 E862096:E862104 E862132:E862140 E862168:E862176 E862204:E862212 E862240:E862248 E862276:E862284 E862312:E862320 E862348:E862356 E862384:E862392 E862420:E862428 E862456:E862464 E862492:E862500 E862528:E862536 E862564:E862572 E862600:E862608 E862636:E862644 E862672:E862680 E862708:E862716 E862744:E862752 E862780:E862788 E862816:E862824 E862852:E862860 E862888:E862896 E862924:E862932 E862960:E862968 E862996:E863004 E863032:E863040 E863068:E863076 E863104:E863112 E863140:E863148 E863176:E863184 E863212:E863220 E863248:E863256 E863284:E863292 E863320:E863328 E863356:E863364 E863392:E863400 E863428:E863436 E863464:E863472 E863500:E863508 E863536:E863544 E863572:E863580 E863608:E863616 E863644:E863652 E863680:E863688 E863716:E863724 E863752:E863760 E863788:E863796 E863824:E863832 E863860:E863868 E863896:E863904 E863932:E863940 E863968:E863976 E864004:E864012 E864040:E864048 E864076:E864084 E864112:E864120 E864148:E864156 E864184:E864192 E864220:E864228 E864256:E864264 E864292:E864300 E864328:E864336 E864364:E864372 E864400:E864408 E864436:E864444 E864472:E864480 E864508:E864516 E864544:E864552 E864580:E864588 E864616:E864624 E864652:E864660 E864688:E864696 E864724:E864732 E864760:E864768 E864796:E864804 E864832:E864840 E864868:E864876 E864904:E864912 E864940:E864948 E864976:E864984 E865012:E865020 E865048:E865056 E865084:E865092 E865120:E865128 E865156:E865164 E865192:E865200 E865228:E865236 E865264:E865272 E865300:E865308 E865336:E865344 E865372:E865380 E865408:E865416 E865444:E865452 E865480:E865488 E865516:E865524 E865552:E865560 E865588:E865596 E865624:E865632 E865660:E865668 E865696:E865704 E865732:E865740 E865768:E865776 E865804:E865812 E865840:E865848 E865876:E865884 E865912:E865920 E865948:E865956 E865984:E865992 E866020:E866028 E866056:E866064 E866092:E866100 E866128:E866136 E866164:E866172 E866200:E866208 E866236:E866244 E866272:E866280 E866308:E866316 E866344:E866352 E866380:E866388 E866416:E866424 E866452:E866460 E866488:E866496 E866524:E866532 E866560:E866568 E866596:E866604 E866632:E866640 E866668:E866676 E866704:E866712 E866740:E866748 E866776:E866784 E866812:E866820 E866848:E866856 E866884:E866892 E866920:E866928 E866956:E866964 E866992:E867000 E867028:E867036 E867064:E867072 E867100:E867108 E867136:E867144 E867172:E867180 E867208:E867216 E867244:E867252 E867280:E867288 E867316:E867324 E867352:E867360 E867388:E867396 E867424:E867432 E867460:E867468 E867496:E867504 E867532:E867540 E867568:E867576 E867604:E867612 E867640:E867648 E867676:E867684 E867712:E867720 E867748:E867756 E867784:E867792 E867820:E867828 E867856:E867864 E867892:E867900 E867928:E867936 E867964:E867972 E868000:E868008 E868036:E868044 E868072:E868080 E868108:E868116 E868144:E868152 E868180:E868188 E868216:E868224 E868252:E868260 E868288:E868296 E868324:E868332 E868360:E868368 E868396:E868404 E868432:E868440 E868468:E868476 E868504:E868512 E868540:E868548 E868576:E868584 E868612:E868620 E868648:E868656 E868684:E868692 E868720:E868728 E868756:E868764 E868792:E868800 E868828:E868836 E868864:E868872 E868900:E868908 E868936:E868944 E868972:E868980 E869008:E869016 E869044:E869052 E869080:E869088 E869116:E869124 E869152:E869160 E869188:E869196 E869224:E869232 E869260:E869268 E869296:E869304 E869332:E869340 E869368:E869376 E869404:E869412 E869440:E869448 E869476:E869484 E869512:E869520 E869548:E869556 E869584:E869592 E869620:E869628 E869656:E869664 E869692:E869700 E869728:E869736 E869764:E869772 E869800:E869808 E869836:E869844 E869872:E869880 E869908:E869916 E869944:E869952 E869980:E869988 E870016:E870024 E870052:E870060 E870088:E870096 E870124:E870132 E870160:E870168 E870196:E870204 E870232:E870240 E870268:E870276 E870304:E870312 E870340:E870348 E870376:E870384 E870412:E870420 E870448:E870456 E870484:E870492 E870520:E870528 E870556:E870564 E870592:E870600 E870628:E870636 E870664:E870672 E870700:E870708 E870736:E870744 E870772:E870780 E870808:E870816 E870844:E870852 E870880:E870888 E870916:E870924 E870952:E870960 E870988:E870996 E871024:E871032 E871060:E871068 E871096:E871104 E871132:E871140 E871168:E871176 E871204:E871212 E871240:E871248 E871276:E871284 E871312:E871320 E871348:E871356 E871384:E871392 E871420:E871428 E871456:E871464 E871492:E871500 E871528:E871536 E871564:E871572 E871600:E871608 E871636:E871644 E871672:E871680 E871708:E871716 E871744:E871752 E871780:E871788 E871816:E871824 E871852:E871860 E871888:E871896 E871924:E871932 E871960:E871968 E871996:E872004 E872032:E872040 E872068:E872076 E872104:E872112 E872140:E872148 E872176:E872184 E872212:E872220 E872248:E872256 E872284:E872292 E872320:E872328 E872356:E872364 E872392:E872400 E872428:E872436 E872464:E872472 E872500:E872508 E872536:E872544 E872572:E872580 E872608:E872616 E872644:E872652 E872680:E872688 E872716:E872724 E872752:E872760 E872788:E872796 E872824:E872832 E872860:E872868 E872896:E872904 E872932:E872940 E872968:E872976 E873004:E873012 E873040:E873048 E873076:E873084 E873112:E873120 E873148:E873156 E873184:E873192 E873220:E873228 E873256:E873264 E873292:E873300 E873328:E873336 E873364:E873372 E873400:E873408 E873436:E873444 E873472:E873480 E873508:E873516 E873544:E873552 E873580:E873588 E873616:E873624 E873652:E873660 E873688:E873696 E873724:E873732 E873760:E873768 E873796:E873804 E873832:E873840 E873868:E873876 E873904:E873912 E873940:E873948 E873976:E873984 E874012:E874020 E874048:E874056 E874084:E874092 E874120:E874128 E874156:E874164 E874192:E874200 E874228:E874236 E874264:E874272 E874300:E874308 E874336:E874344 E874372:E874380 E874408:E874416 E874444:E874452 E874480:E874488 E874516:E874524 E874552:E874560 E874588:E874596 E874624:E874632 E874660:E874668 E874696:E874704 E874732:E874740 E874768:E874776 E874804:E874812 E874840:E874848 E874876:E874884 E874912:E874920 E874948:E874956 E874984:E874992 E875020:E875028 E875056:E875064 E875092:E875100 E875128:E875136 E875164:E875172 E875200:E875208 E875236:E875244 E875272:E875280 E875308:E875316 E875344:E875352 E875380:E875388 E875416:E875424 E875452:E875460 E875488:E875496 E875524:E875532 E875560:E875568 E875596:E875604 E875632:E875640 E875668:E875676 E875704:E875712 E875740:E875748 E875776:E875784 E875812:E875820 E875848:E875856 E875884:E875892 E875920:E875928 E875956:E875964 E875992:E876000 E876028:E876036 E876064:E876072 E876100:E876108 E876136:E876144 E876172:E876180 E876208:E876216 E876244:E876252 E876280:E876288 E876316:E876324 E876352:E876360 E876388:E876396 E876424:E876432 E876460:E876468 E876496:E876504 E876532:E876540 E876568:E876576 E876604:E876612 E876640:E876648 E876676:E876684 E876712:E876720 E876748:E876756 E876784:E876792 E876820:E876828 E876856:E876864 E876892:E876900 E876928:E876936 E876964:E876972 E877000:E877008 E877036:E877044 E877072:E877080 E877108:E877116 E877144:E877152 E877180:E877188 E877216:E877224 E877252:E877260 E877288:E877296 E877324:E877332 E877360:E877368 E877396:E877404 E877432:E877440 E877468:E877476 E877504:E877512 E877540:E877548 E877576:E877584 E877612:E877620 E877648:E877656 E877684:E877692 E877720:E877728 E877756:E877764 E877792:E877800 E877828:E877836 E877864:E877872 E877900:E877908 E877936:E877944 E877972:E877980 E878008:E878016 E878044:E878052 E878080:E878088 E878116:E878124 E878152:E878160 E878188:E878196 E878224:E878232 E878260:E878268 E878296:E878304 E878332:E878340 E878368:E878376 E878404:E878412 E878440:E878448 E878476:E878484 E878512:E878520 E878548:E878556 E878584:E878592 E878620:E878628 E878656:E878664 E878692:E878700 E878728:E878736 E878764:E878772 E878800:E878808 E878836:E878844 E878872:E878880 E878908:E878916 E878944:E878952 E878980:E878988 E879016:E879024 E879052:E879060 E879088:E879096 E879124:E879132 E879160:E879168 E879196:E879204 E879232:E879240 E879268:E879276 E879304:E879312 E879340:E879348 E879376:E879384 E879412:E879420 E879448:E879456 E879484:E879492 E879520:E879528 E879556:E879564 E879592:E879600 E879628:E879636 E879664:E879672 E879700:E879708 E879736:E879744 E879772:E879780 E879808:E879816 E879844:E879852 E879880:E879888 E879916:E879924 E879952:E879960 E879988:E879996 E880024:E880032 E880060:E880068 E880096:E880104 E880132:E880140 E880168:E880176 E880204:E880212 E880240:E880248 E880276:E880284 E880312:E880320 E880348:E880356 E880384:E880392 E880420:E880428 E880456:E880464 E880492:E880500 E880528:E880536 E880564:E880572 E880600:E880608 E880636:E880644 E880672:E880680 E880708:E880716 E880744:E880752 E880780:E880788 E880816:E880824 E880852:E880860 E880888:E880896 E880924:E880932 E880960:E880968 E880996:E881004 E881032:E881040 E881068:E881076 E881104:E881112 E881140:E881148 E881176:E881184 E881212:E881220 E881248:E881256 E881284:E881292 E881320:E881328 E881356:E881364 E881392:E881400 E881428:E881436 E881464:E881472 E881500:E881508 E881536:E881544 E881572:E881580 E881608:E881616 E881644:E881652 E881680:E881688 E881716:E881724 E881752:E881760 E881788:E881796 E881824:E881832 E881860:E881868 E881896:E881904 E881932:E881940 E881968:E881976 E882004:E882012 E882040:E882048 E882076:E882084 E882112:E882120 E882148:E882156 E882184:E882192 E882220:E882228 E882256:E882264 E882292:E882300 E882328:E882336 E882364:E882372 E882400:E882408 E882436:E882444 E882472:E882480 E882508:E882516 E882544:E882552 E882580:E882588 E882616:E882624 E882652:E882660 E882688:E882696 E882724:E882732 E882760:E882768 E882796:E882804 E882832:E882840 E882868:E882876 E882904:E882912 E882940:E882948 E882976:E882984 E883012:E883020 E883048:E883056 E883084:E883092 E883120:E883128 E883156:E883164 E883192:E883200 E883228:E883236 E883264:E883272 E883300:E883308 E883336:E883344 E883372:E883380 E883408:E883416 E883444:E883452 E883480:E883488 E883516:E883524 E883552:E883560 E883588:E883596 E883624:E883632 E883660:E883668 E883696:E883704 E883732:E883740 E883768:E883776 E883804:E883812 E883840:E883848 E883876:E883884 E883912:E883920 E883948:E883956 E883984:E883992 E884020:E884028 E884056:E884064 E884092:E884100 E884128:E884136 E884164:E884172 E884200:E884208 E884236:E884244 E884272:E884280 E884308:E884316 E884344:E884352 E884380:E884388 E884416:E884424 E884452:E884460 E884488:E884496 E884524:E884532 E884560:E884568 E884596:E884604 E884632:E884640 E884668:E884676 E884704:E884712 E884740:E884748 E884776:E884784 E884812:E884820 E884848:E884856 E884884:E884892 E884920:E884928 E884956:E884964 E884992:E885000 E885028:E885036 E885064:E885072 E885100:E885108 E885136:E885144 E885172:E885180 E885208:E885216 E885244:E885252 E885280:E885288 E885316:E885324 E885352:E885360 E885388:E885396 E885424:E885432 E885460:E885468 E885496:E885504 E885532:E885540 E885568:E885576 E885604:E885612 E885640:E885648 E885676:E885684 E885712:E885720 E885748:E885756 E885784:E885792 E885820:E885828 E885856:E885864 E885892:E885900 E885928:E885936 E885964:E885972 E886000:E886008 E886036:E886044 E886072:E886080 E886108:E886116 E886144:E886152 E886180:E886188 E886216:E886224 E886252:E886260 E886288:E886296 E886324:E886332 E886360:E886368 E886396:E886404 E886432:E886440 E886468:E886476 E886504:E886512 E886540:E886548 E886576:E886584 E886612:E886620 E886648:E886656 E886684:E886692 E886720:E886728 E886756:E886764 E886792:E886800 E886828:E886836 E886864:E886872 E886900:E886908 E886936:E886944 E886972:E886980 E887008:E887016 E887044:E887052 E887080:E887088 E887116:E887124 E887152:E887160 E887188:E887196 E887224:E887232 E887260:E887268 E887296:E887304 E887332:E887340 E887368:E887376 E887404:E887412 E887440:E887448 E887476:E887484 E887512:E887520 E887548:E887556 E887584:E887592 E887620:E887628 E887656:E887664 E887692:E887700 E887728:E887736 E887764:E887772 E887800:E887808 E887836:E887844 E887872:E887880 E887908:E887916 E887944:E887952 E887980:E887988 E888016:E888024 E888052:E888060 E888088:E888096 E888124:E888132 E888160:E888168 E888196:E888204 E888232:E888240 E888268:E888276 E888304:E888312 E888340:E888348 E888376:E888384 E888412:E888420 E888448:E888456 E888484:E888492 E888520:E888528 E888556:E888564 E888592:E888600 E888628:E888636 E888664:E888672 E888700:E888708 E888736:E888744 E888772:E888780 E888808:E888816 E888844:E888852 E888880:E888888 E888916:E888924 E888952:E888960 E888988:E888996 E889024:E889032 E889060:E889068 E889096:E889104 E889132:E889140 E889168:E889176 E889204:E889212 E889240:E889248 E889276:E889284 E889312:E889320 E889348:E889356 E889384:E889392 E889420:E889428 E889456:E889464 E889492:E889500 E889528:E889536 E889564:E889572 E889600:E889608 E889636:E889644 E889672:E889680 E889708:E889716 E889744:E889752 E889780:E889788 E889816:E889824 E889852:E889860 E889888:E889896 E889924:E889932 E889960:E889968 E889996:E890004 E890032:E890040 E890068:E890076 E890104:E890112 E890140:E890148 E890176:E890184 E890212:E890220 E890248:E890256 E890284:E890292 E890320:E890328 E890356:E890364 E890392:E890400 E890428:E890436 E890464:E890472 E890500:E890508 E890536:E890544 E890572:E890580 E890608:E890616 E890644:E890652 E890680:E890688 E890716:E890724 E890752:E890760 E890788:E890796 E890824:E890832 E890860:E890868 E890896:E890904 E890932:E890940 E890968:E890976 E891004:E891012 E891040:E891048 E891076:E891084 E891112:E891120 E891148:E891156 E891184:E891192 E891220:E891228 E891256:E891264 E891292:E891300 E891328:E891336 E891364:E891372 E891400:E891408 E891436:E891444 E891472:E891480 E891508:E891516 E891544:E891552 E891580:E891588 E891616:E891624 E891652:E891660 E891688:E891696 E891724:E891732 E891760:E891768 E891796:E891804 E891832:E891840 E891868:E891876 E891904:E891912 E891940:E891948 E891976:E891984 E892012:E892020 E892048:E892056 E892084:E892092 E892120:E892128 E892156:E892164 E892192:E892200 E892228:E892236 E892264:E892272 E892300:E892308 E892336:E892344 E892372:E892380 E892408:E892416 E892444:E892452 E892480:E892488 E892516:E892524 E892552:E892560 E892588:E892596 E892624:E892632 E892660:E892668 E892696:E892704 E892732:E892740 E892768:E892776 E892804:E892812 E892840:E892848 E892876:E892884 E892912:E892920 E892948:E892956 E892984:E892992 E893020:E893028 E893056:E893064 E893092:E893100 E893128:E893136 E893164:E893172 E893200:E893208 E893236:E893244 E893272:E893280 E893308:E893316 E893344:E893352 E893380:E893388 E893416:E893424 E893452:E893460 E893488:E893496 E893524:E893532 E893560:E893568 E893596:E893604 E893632:E893640 E893668:E893676 E893704:E893712 E893740:E893748 E893776:E893784 E893812:E893820 E893848:E893856 E893884:E893892 E893920:E893928 E893956:E893964 E893992:E894000 E894028:E894036 E894064:E894072 E894100:E894108 E894136:E894144 E894172:E894180 E894208:E894216 E894244:E894252 E894280:E894288 E894316:E894324 E894352:E894360 E894388:E894396 E894424:E894432 E894460:E894468 E894496:E894504 E894532:E894540 E894568:E894576 E894604:E894612 E894640:E894648 E894676:E894684 E894712:E894720 E894748:E894756 E894784:E894792 E894820:E894828 E894856:E894864 E894892:E894900 E894928:E894936 E894964:E894972 E895000:E895008 E895036:E895044 E895072:E895080 E895108:E895116 E895144:E895152 E895180:E895188 E895216:E895224 E895252:E895260 E895288:E895296 E895324:E895332 E895360:E895368 E895396:E895404 E895432:E895440 E895468:E895476 E895504:E895512 E895540:E895548 E895576:E895584 E895612:E895620 E895648:E895656 E895684:E895692 E895720:E895728 E895756:E895764 E895792:E895800 E895828:E895836 E895864:E895872 E895900:E895908 E895936:E895944 E895972:E895980 E896008:E896016 E896044:E896052 E896080:E896088 E896116:E896124 E896152:E896160 E896188:E896196 E896224:E896232 E896260:E896268 E896296:E896304 E896332:E896340 E896368:E896376 E896404:E896412 E896440:E896448 E896476:E896484 E896512:E896520 E896548:E896556 E896584:E896592 E896620:E896628 E896656:E896664 E896692:E896700 E896728:E896736 E896764:E896772 E896800:E896808 E896836:E896844 E896872:E896880 E896908:E896916 E896944:E896952 E896980:E896988 E897016:E897024 E897052:E897060 E897088:E897096 E897124:E897132 E897160:E897168 E897196:E897204 E897232:E897240 E897268:E897276 E897304:E897312 E897340:E897348 E897376:E897384 E897412:E897420 E897448:E897456 E897484:E897492 E897520:E897528 E897556:E897564 E897592:E897600 E897628:E897636 E897664:E897672 E897700:E897708 E897736:E897744 E897772:E897780 E897808:E897816 E897844:E897852 E897880:E897888 E897916:E897924 E897952:E897960 E897988:E897996 E898024:E898032 E898060:E898068 E898096:E898104 E898132:E898140 E898168:E898176 E898204:E898212 E898240:E898248 E898276:E898284 E898312:E898320 E898348:E898356 E898384:E898392 E898420:E898428 E898456:E898464 E898492:E898500 E898528:E898536 E898564:E898572 E898600:E898608 E898636:E898644 E898672:E898680 E898708:E898716 E898744:E898752 E898780:E898788 E898816:E898824 E898852:E898860 E898888:E898896 E898924:E898932 E898960:E898968 E898996:E899004 E899032:E899040 E899068:E899076 E899104:E899112 E899140:E899148 E899176:E899184 E899212:E899220 E899248:E899256 E899284:E899292 E899320:E899328 E899356:E899364 E899392:E899400 E899428:E899436 E899464:E899472 E899500:E899508 E899536:E899544 E899572:E899580 E899608:E899616 E899644:E899652 E899680:E899688 E899716:E899724 E899752:E899760 E899788:E899796 E899824:E899832 E899860:E899868 E899896:E899904 E899932:E899940 E899968:E899976 E900004:E900012 E900040:E900048 E900076:E900084 E900112:E900120 E900148:E900156 E900184:E900192 E900220:E900228 E900256:E900264 E900292:E900300 E900328:E900336 E900364:E900372 E900400:E900408 E900436:E900444 E900472:E900480 E900508:E900516 E900544:E900552 E900580:E900588 E900616:E900624 E900652:E900660 E900688:E900696 E900724:E900732 E900760:E900768 E900796:E900804 E900832:E900840 E900868:E900876 E900904:E900912 E900940:E900948 E900976:E900984 E901012:E901020 E901048:E901056 E901084:E901092 E901120:E901128 E901156:E901164 E901192:E901200 E901228:E901236 E901264:E901272 E901300:E901308 E901336:E901344 E901372:E901380 E901408:E901416 E901444:E901452 E901480:E901488 E901516:E901524 E901552:E901560 E901588:E901596 E901624:E901632 E901660:E901668 E901696:E901704 E901732:E901740 E901768:E901776 E901804:E901812 E901840:E901848 E901876:E901884 E901912:E901920 E901948:E901956 E901984:E901992 E902020:E902028 E902056:E902064 E902092:E902100 E902128:E902136 E902164:E902172 E902200:E902208 E902236:E902244 E902272:E902280 E902308:E902316 E902344:E902352 E902380:E902388 E902416:E902424 E902452:E902460 E902488:E902496 E902524:E902532 E902560:E902568 E902596:E902604 E902632:E902640 E902668:E902676 E902704:E902712 E902740:E902748 E902776:E902784 E902812:E902820 E902848:E902856 E902884:E902892 E902920:E902928 E902956:E902964 E902992:E903000 E903028:E903036 E903064:E903072 E903100:E903108 E903136:E903144 E903172:E903180 E903208:E903216 E903244:E903252 E903280:E903288 E903316:E903324 E903352:E903360 E903388:E903396 E903424:E903432 E903460:E903468 E903496:E903504 E903532:E903540 E903568:E903576 E903604:E903612 E903640:E903648 E903676:E903684 E903712:E903720 E903748:E903756 E903784:E903792 E903820:E903828 E903856:E903864 E903892:E903900 E903928:E903936 E903964:E903972 E904000:E904008 E904036:E904044 E904072:E904080 E904108:E904116 E904144:E904152 E904180:E904188 E904216:E904224 E904252:E904260 E904288:E904296 E904324:E904332 E904360:E904368 E904396:E904404 E904432:E904440 E904468:E904476 E904504:E904512 E904540:E904548 E904576:E904584 E904612:E904620 E904648:E904656 E904684:E904692 E904720:E904728 E904756:E904764 E904792:E904800 E904828:E904836 E904864:E904872 E904900:E904908 E904936:E904944 E904972:E904980 E905008:E905016 E905044:E905052 E905080:E905088 E905116:E905124 E905152:E905160 E905188:E905196 E905224:E905232 E905260:E905268 E905296:E905304 E905332:E905340 E905368:E905376 E905404:E905412 E905440:E905448 E905476:E905484 E905512:E905520 E905548:E905556 E905584:E905592 E905620:E905628 E905656:E905664 E905692:E905700 E905728:E905736 E905764:E905772 E905800:E905808 E905836:E905844 E905872:E905880 E905908:E905916 E905944:E905952 E905980:E905988 E906016:E906024 E906052:E906060 E906088:E906096 E906124:E906132 E906160:E906168 E906196:E906204 E906232:E906240 E906268:E906276 E906304:E906312 E906340:E906348 E906376:E906384 E906412:E906420 E906448:E906456 E906484:E906492 E906520:E906528 E906556:E906564 E906592:E906600 E906628:E906636 E906664:E906672 E906700:E906708 E906736:E906744 E906772:E906780 E906808:E906816 E906844:E906852 E906880:E906888 E906916:E906924 E906952:E906960 E906988:E906996 E907024:E907032 E907060:E907068 E907096:E907104 E907132:E907140 E907168:E907176 E907204:E907212 E907240:E907248 E907276:E907284 E907312:E907320 E907348:E907356 E907384:E907392 E907420:E907428 E907456:E907464 E907492:E907500 E907528:E907536 E907564:E907572 E907600:E907608 E907636:E907644 E907672:E907680 E907708:E907716 E907744:E907752 E907780:E907788 E907816:E907824 E907852:E907860 E907888:E907896 E907924:E907932 E907960:E907968 E907996:E908004 E908032:E908040 E908068:E908076 E908104:E908112 E908140:E908148 E908176:E908184 E908212:E908220 E908248:E908256 E908284:E908292 E908320:E908328 E908356:E908364 E908392:E908400 E908428:E908436 E908464:E908472 E908500:E908508 E908536:E908544 E908572:E908580 E908608:E908616 E908644:E908652 E908680:E908688 E908716:E908724 E908752:E908760 E908788:E908796 E908824:E908832 E908860:E908868 E908896:E908904 E908932:E908940 E908968:E908976 E909004:E909012 E909040:E909048 E909076:E909084 E909112:E909120 E909148:E909156 E909184:E909192 E909220:E909228 E909256:E909264 E909292:E909300 E909328:E909336 E909364:E909372 E909400:E909408 E909436:E909444 E909472:E909480 E909508:E909516 E909544:E909552 E909580:E909588 E909616:E909624 E909652:E909660 E909688:E909696 E909724:E909732 E909760:E909768 E909796:E909804 E909832:E909840 E909868:E909876 E909904:E909912 E909940:E909948 E909976:E909984 E910012:E910020 E910048:E910056 E910084:E910092 E910120:E910128 E910156:E910164 E910192:E910200 E910228:E910236 E910264:E910272 E910300:E910308 E910336:E910344 E910372:E910380 E910408:E910416 E910444:E910452 E910480:E910488 E910516:E910524 E910552:E910560 E910588:E910596 E910624:E910632 E910660:E910668 E910696:E910704 E910732:E910740 E910768:E910776 E910804:E910812 E910840:E910848 E910876:E910884 E910912:E910920 E910948:E910956 E910984:E910992 E911020:E911028 E911056:E911064 E911092:E911100 E911128:E911136 E911164:E911172 E911200:E911208 E911236:E911244 E911272:E911280 E911308:E911316 E911344:E911352 E911380:E911388 E911416:E911424 E911452:E911460 E911488:E911496 E911524:E911532 E911560:E911568 E911596:E911604 E911632:E911640 E911668:E911676 E911704:E911712 E911740:E911748 E911776:E911784 E911812:E911820 E911848:E911856 E911884:E911892 E911920:E911928 E911956:E911964 E911992:E912000 E912028:E912036 E912064:E912072 E912100:E912108 E912136:E912144 E912172:E912180 E912208:E912216 E912244:E912252 E912280:E912288 E912316:E912324 E912352:E912360 E912388:E912396 E912424:E912432 E912460:E912468 E912496:E912504 E912532:E912540 E912568:E912576 E912604:E912612 E912640:E912648 E912676:E912684 E912712:E912720 E912748:E912756 E912784:E912792 E912820:E912828 E912856:E912864 E912892:E912900 E912928:E912936 E912964:E912972 E913000:E913008 E913036:E913044 E913072:E913080 E913108:E913116 E913144:E913152 E913180:E913188 E913216:E913224 E913252:E913260 E913288:E913296 E913324:E913332 E913360:E913368 E913396:E913404 E913432:E913440 E913468:E913476 E913504:E913512 E913540:E913548 E913576:E913584 E913612:E913620 E913648:E913656 E913684:E913692 E913720:E913728 E913756:E913764 E913792:E913800 E913828:E913836 E913864:E913872 E913900:E913908 E913936:E913944 E913972:E913980 E914008:E914016 E914044:E914052 E914080:E914088 E914116:E914124 E914152:E914160 E914188:E914196 E914224:E914232 E914260:E914268 E914296:E914304 E914332:E914340 E914368:E914376 E914404:E914412 E914440:E914448 E914476:E914484 E914512:E914520 E914548:E914556 E914584:E914592 E914620:E914628 E914656:E914664 E914692:E914700 E914728:E914736 E914764:E914772 E914800:E914808 E914836:E914844 E914872:E914880 E914908:E914916 E914944:E914952 E914980:E914988 E915016:E915024 E915052:E915060 E915088:E915096 E915124:E915132 E915160:E915168 E915196:E915204 E915232:E915240 E915268:E915276 E915304:E915312 E915340:E915348 E915376:E915384 E915412:E915420 E915448:E915456 E915484:E915492 E915520:E915528 E915556:E915564 E915592:E915600 E915628:E915636 E915664:E915672 E915700:E915708 E915736:E915744 E915772:E915780 E915808:E915816 E915844:E915852 E915880:E915888 E915916:E915924 E915952:E915960 E915988:E915996 E916024:E916032 E916060:E916068 E916096:E916104 E916132:E916140 E916168:E916176 E916204:E916212 E916240:E916248 E916276:E916284 E916312:E916320 E916348:E916356 E916384:E916392 E916420:E916428 E916456:E916464 E916492:E916500 E916528:E916536 E916564:E916572 E916600:E916608 E916636:E916644 E916672:E916680 E916708:E916716 E916744:E916752 E916780:E916788 E916816:E916824 E916852:E916860 E916888:E916896 E916924:E916932 E916960:E916968 E916996:E917004 E917032:E917040 E917068:E917076 E917104:E917112 E917140:E917148 E917176:E917184 E917212:E917220 E917248:E917256 E917284:E917292 E917320:E917328 E917356:E917364 E917392:E917400 E917428:E917436 E917464:E917472 E917500:E917508 E917536:E917544 E917572:E917580 E917608:E917616 E917644:E917652 E917680:E917688 E917716:E917724 E917752:E917760 E917788:E917796 E917824:E917832 E917860:E917868 E917896:E917904 E917932:E917940 E917968:E917976 E918004:E918012 E918040:E918048 E918076:E918084 E918112:E918120 E918148:E918156 E918184:E918192 E918220:E918228 E918256:E918264 E918292:E918300 E918328:E918336 E918364:E918372 E918400:E918408 E918436:E918444 E918472:E918480 E918508:E918516 E918544:E918552 E918580:E918588 E918616:E918624 E918652:E918660 E918688:E918696 E918724:E918732 E918760:E918768 E918796:E918804 E918832:E918840 E918868:E918876 E918904:E918912 E918940:E918948 E918976:E918984 E919012:E919020 E919048:E919056 E919084:E919092 E919120:E919128 E919156:E919164 E919192:E919200 E919228:E919236 E919264:E919272 E919300:E919308 E919336:E919344 E919372:E919380 E919408:E919416 E919444:E919452 E919480:E919488 E919516:E919524 E919552:E919560 E919588:E919596 E919624:E919632 E919660:E919668 E919696:E919704 E919732:E919740 E919768:E919776 E919804:E919812 E919840:E919848 E919876:E919884 E919912:E919920 E919948:E919956 E919984:E919992 E920020:E920028 E920056:E920064 E920092:E920100 E920128:E920136 E920164:E920172 E920200:E920208 E920236:E920244 E920272:E920280 E920308:E920316 E920344:E920352 E920380:E920388 E920416:E920424 E920452:E920460 E920488:E920496 E920524:E920532 E920560:E920568 E920596:E920604 E920632:E920640 E920668:E920676 E920704:E920712 E920740:E920748 E920776:E920784 E920812:E920820 E920848:E920856 E920884:E920892 E920920:E920928 E920956:E920964 E920992:E921000 E921028:E921036 E921064:E921072 E921100:E921108 E921136:E921144 E921172:E921180 E921208:E921216 E921244:E921252 E921280:E921288 E921316:E921324 E921352:E921360 E921388:E921396 E921424:E921432 E921460:E921468 E921496:E921504 E921532:E921540 E921568:E921576 E921604:E921612 E921640:E921648 E921676:E921684 E921712:E921720 E921748:E921756 E921784:E921792 E921820:E921828 E921856:E921864 E921892:E921900 E921928:E921936 E921964:E921972 E922000:E922008 E922036:E922044 E922072:E922080 E922108:E922116 E922144:E922152 E922180:E922188 E922216:E922224 E922252:E922260 E922288:E922296 E922324:E922332 E922360:E922368 E922396:E922404 E922432:E922440 E922468:E922476 E922504:E922512 E922540:E922548 E922576:E922584 E922612:E922620 E922648:E922656 E922684:E922692 E922720:E922728 E922756:E922764 E922792:E922800 E922828:E922836 E922864:E922872 E922900:E922908 E922936:E922944 E922972:E922980 E923008:E923016 E923044:E923052 E923080:E923088 E923116:E923124 E923152:E923160 E923188:E923196 E923224:E923232 E923260:E923268 E923296:E923304 E923332:E923340 E923368:E923376 E923404:E923412 E923440:E923448 E923476:E923484 E923512:E923520 E923548:E923556 E923584:E923592 E923620:E923628 E923656:E923664 E923692:E923700 E923728:E923736 E923764:E923772 E923800:E923808 E923836:E923844 E923872:E923880 E923908:E923916 E923944:E923952 E923980:E923988 E924016:E924024 E924052:E924060 E924088:E924096 E924124:E924132 E924160:E924168 E924196:E924204 E924232:E924240 E924268:E924276 E924304:E924312 E924340:E924348 E924376:E924384 E924412:E924420 E924448:E924456 E924484:E924492 E924520:E924528 E924556:E924564 E924592:E924600 E924628:E924636 E924664:E924672 E924700:E924708 E924736:E924744 E924772:E924780 E924808:E924816 E924844:E924852 E924880:E924888 E924916:E924924 E924952:E924960 E924988:E924996 E925024:E925032 E925060:E925068 E925096:E925104 E925132:E925140 E925168:E925176 E925204:E925212 E925240:E925248 E925276:E925284 E925312:E925320 E925348:E925356 E925384:E925392 E925420:E925428 E925456:E925464 E925492:E925500 E925528:E925536 E925564:E925572 E925600:E925608 E925636:E925644 E925672:E925680 E925708:E925716 E925744:E925752 E925780:E925788 E925816:E925824 E925852:E925860 E925888:E925896 E925924:E925932 E925960:E925968 E925996:E926004 E926032:E926040 E926068:E926076 E926104:E926112 E926140:E926148 E926176:E926184 E926212:E926220 E926248:E926256 E926284:E926292 E926320:E926328 E926356:E926364 E926392:E926400 E926428:E926436 E926464:E926472 E926500:E926508 E926536:E926544 E926572:E926580 E926608:E926616 E926644:E926652 E926680:E926688 E926716:E926724 E926752:E926760 E926788:E926796 E926824:E926832 E926860:E926868 E926896:E926904 E926932:E926940 E926968:E926976 E927004:E927012 E927040:E927048 E927076:E927084 E927112:E927120 E927148:E927156 E927184:E927192 E927220:E927228 E927256:E927264 E927292:E927300 E927328:E927336 E927364:E927372 E927400:E927408 E927436:E927444 E927472:E927480 E927508:E927516 E927544:E927552 E927580:E927588 E927616:E927624 E927652:E927660 E927688:E927696 E927724:E927732 E927760:E927768 E927796:E927804 E927832:E927840 E927868:E927876 E927904:E927912 E927940:E927948 E927976:E927984 E928012:E928020 E928048:E928056 E928084:E928092 E928120:E928128 E928156:E928164 E928192:E928200 E928228:E928236 E928264:E928272 E928300:E928308 E928336:E928344 E928372:E928380 E928408:E928416 E928444:E928452 E928480:E928488 E928516:E928524 E928552:E928560 E928588:E928596 E928624:E928632 E928660:E928668 E928696:E928704 E928732:E928740 E928768:E928776 E928804:E928812 E928840:E928848 E928876:E928884 E928912:E928920 E928948:E928956 E928984:E928992 E929020:E929028 E929056:E929064 E929092:E929100 E929128:E929136 E929164:E929172 E929200:E929208 E929236:E929244 E929272:E929280 E929308:E929316 E929344:E929352 E929380:E929388 E929416:E929424 E929452:E929460 E929488:E929496 E929524:E929532 E929560:E929568 E929596:E929604 E929632:E929640 E929668:E929676 E929704:E929712 E929740:E929748 E929776:E929784 E929812:E929820 E929848:E929856 E929884:E929892 E929920:E929928 E929956:E929964 E929992:E930000 E930028:E930036 E930064:E930072 E930100:E930108 E930136:E930144 E930172:E930180 E930208:E930216 E930244:E930252 E930280:E930288 E930316:E930324 E930352:E930360 E930388:E930396 E930424:E930432 E930460:E930468 E930496:E930504 E930532:E930540 E930568:E930576 E930604:E930612 E930640:E930648 E930676:E930684 E930712:E930720 E930748:E930756 E930784:E930792 E930820:E930828 E930856:E930864 E930892:E930900 E930928:E930936 E930964:E930972 E931000:E931008 E931036:E931044 E931072:E931080 E931108:E931116 E931144:E931152 E931180:E931188 E931216:E931224 E931252:E931260 E931288:E931296 E931324:E931332 E931360:E931368 E931396:E931404 E931432:E931440 E931468:E931476 E931504:E931512 E931540:E931548 E931576:E931584 E931612:E931620 E931648:E931656 E931684:E931692 E931720:E931728 E931756:E931764 E931792:E931800 E931828:E931836 E931864:E931872 E931900:E931908 E931936:E931944 E931972:E931980 E932008:E932016 E932044:E932052 E932080:E932088 E932116:E932124 E932152:E932160 E932188:E932196 E932224:E932232 E932260:E932268 E932296:E932304 E932332:E932340 E932368:E932376 E932404:E932412 E932440:E932448 E932476:E932484 E932512:E932520 E932548:E932556 E932584:E932592 E932620:E932628 E932656:E932664 E932692:E932700 E932728:E932736 E932764:E932772 E932800:E932808 E932836:E932844 E932872:E932880 E932908:E932916 E932944:E932952 E932980:E932988 E933016:E933024 E933052:E933060 E933088:E933096 E933124:E933132 E933160:E933168 E933196:E933204 E933232:E933240 E933268:E933276 E933304:E933312 E933340:E933348 E933376:E933384 E933412:E933420 E933448:E933456 E933484:E933492 E933520:E933528 E933556:E933564 E933592:E933600 E933628:E933636 E933664:E933672 E933700:E933708 E933736:E933744 E933772:E933780 E933808:E933816 E933844:E933852 E933880:E933888 E933916:E933924 E933952:E933960 E933988:E933996 E934024:E934032 E934060:E934068 E934096:E934104 E934132:E934140 E934168:E934176 E934204:E934212 E934240:E934248 E934276:E934284 E934312:E934320 E934348:E934356 E934384:E934392 E934420:E934428 E934456:E934464 E934492:E934500 E934528:E934536 E934564:E934572 E934600:E934608 E934636:E934644 E934672:E934680 E934708:E934716 E934744:E934752 E934780:E934788 E934816:E934824 E934852:E934860 E934888:E934896 E934924:E934932 E934960:E934968 E934996:E935004 E935032:E935040 E935068:E935076 E935104:E935112 E935140:E935148 E935176:E935184 E935212:E935220 E935248:E935256 E935284:E935292 E935320:E935328 E935356:E935364 E935392:E935400 E935428:E935436 E935464:E935472 E935500:E935508 E935536:E935544 E935572:E935580 E935608:E935616 E935644:E935652 E935680:E935688 E935716:E935724 E935752:E935760 E935788:E935796 E935824:E935832 E935860:E935868 E935896:E935904 E935932:E935940 E935968:E935976 E936004:E936012 E936040:E936048 E936076:E936084 E936112:E936120 E936148:E936156 E936184:E936192 E936220:E936228 E936256:E936264 E936292:E936300 E936328:E936336 E936364:E936372 E936400:E936408 E936436:E936444 E936472:E936480 E936508:E936516 E936544:E936552 E936580:E936588 E936616:E936624 E936652:E936660 E936688:E936696 E936724:E936732 E936760:E936768 E936796:E936804 E936832:E936840 E936868:E936876 E936904:E936912 E936940:E936948 E936976:E936984 E937012:E937020 E937048:E937056 E937084:E937092 E937120:E937128 E937156:E937164 E937192:E937200 E937228:E937236 E937264:E937272 E937300:E937308 E937336:E937344 E937372:E937380 E937408:E937416 E937444:E937452 E937480:E937488 E937516:E937524 E937552:E937560 E937588:E937596 E937624:E937632 E937660:E937668 E937696:E937704 E937732:E937740 E937768:E937776 E937804:E937812 E937840:E937848 E937876:E937884 E937912:E937920 E937948:E937956 E937984:E937992 E938020:E938028 E938056:E938064 E938092:E938100 E938128:E938136 E938164:E938172 E938200:E938208 E938236:E938244 E938272:E938280 E938308:E938316 E938344:E938352 E938380:E938388 E938416:E938424 E938452:E938460 E938488:E938496 E938524:E938532 E938560:E938568 E938596:E938604 E938632:E938640 E938668:E938676 E938704:E938712 E938740:E938748 E938776:E938784 E938812:E938820 E938848:E938856 E938884:E938892 E938920:E938928 E938956:E938964 E938992:E939000 E939028:E939036 E939064:E939072 E939100:E939108 E939136:E939144 E939172:E939180 E939208:E939216 E939244:E939252 E939280:E939288 E939316:E939324 E939352:E939360 E939388:E939396 E939424:E939432 E939460:E939468 E939496:E939504 E939532:E939540 E939568:E939576 E939604:E939612 E939640:E939648 E939676:E939684 E939712:E939720 E939748:E939756 E939784:E939792 E939820:E939828 E939856:E939864 E939892:E939900 E939928:E939936 E939964:E939972 E940000:E940008 E940036:E940044 E940072:E940080 E940108:E940116 E940144:E940152 E940180:E940188 E940216:E940224 E940252:E940260 E940288:E940296 E940324:E940332 E940360:E940368 E940396:E940404 E940432:E940440 E940468:E940476 E940504:E940512 E940540:E940548 E940576:E940584 E940612:E940620 E940648:E940656 E940684:E940692 E940720:E940728 E940756:E940764 E940792:E940800 E940828:E940836 E940864:E940872 E940900:E940908 E940936:E940944 E940972:E940980 E941008:E941016 E941044:E941052 E941080:E941088 E941116:E941124 E941152:E941160 E941188:E941196 E941224:E941232 E941260:E941268 E941296:E941304 E941332:E941340 E941368:E941376 E941404:E941412 E941440:E941448 E941476:E941484 E941512:E941520 E941548:E941556 E941584:E941592 E941620:E941628 E941656:E941664 E941692:E941700 E941728:E941736 E941764:E941772 E941800:E941808 E941836:E941844 E941872:E941880 E941908:E941916 E941944:E941952 E941980:E941988 E942016:E942024 E942052:E942060 E942088:E942096 E942124:E942132 E942160:E942168 E942196:E942204 E942232:E942240 E942268:E942276 E942304:E942312 E942340:E942348 E942376:E942384 E942412:E942420 E942448:E942456 E942484:E942492 E942520:E942528 E942556:E942564 E942592:E942600 E942628:E942636 E942664:E942672 E942700:E942708 E942736:E942744 E942772:E942780 E942808:E942816 E942844:E942852 E942880:E942888 E942916:E942924 E942952:E942960 E942988:E942996 E943024:E943032 E943060:E943068 E943096:E943104 E943132:E943140 E943168:E943176 E943204:E943212 E943240:E943248 E943276:E943284 E943312:E943320 E943348:E943356 E943384:E943392 E943420:E943428 E943456:E943464 E943492:E943500 E943528:E943536 E943564:E943572 E943600:E943608 E943636:E943644 E943672:E943680 E943708:E943716 E943744:E943752 E943780:E943788 E943816:E943824 E943852:E943860 E943888:E943896 E943924:E943932 E943960:E943968 E943996:E944004 E944032:E944040 E944068:E944076 E944104:E944112 E944140:E944148 E944176:E944184 E944212:E944220 E944248:E944256 E944284:E944292 E944320:E944328 E944356:E944364 E944392:E944400 E944428:E944436 E944464:E944472 E944500:E944508 E944536:E944544 E944572:E944580 E944608:E944616 E944644:E944652 E944680:E944688 E944716:E944724 E944752:E944760 E944788:E944796 E944824:E944832 E944860:E944868 E944896:E944904 E944932:E944940 E944968:E944976 E945004:E945012 E945040:E945048 E945076:E945084 E945112:E945120 E945148:E945156 E945184:E945192 E945220:E945228 E945256:E945264 E945292:E945300 E945328:E945336 E945364:E945372 E945400:E945408 E945436:E945444 E945472:E945480 E945508:E945516 E945544:E945552 E945580:E945588 E945616:E945624 E945652:E945660 E945688:E945696 E945724:E945732 E945760:E945768 E945796:E945804 E945832:E945840 E945868:E945876 E945904:E945912 E945940:E945948 E945976:E945984 E946012:E946020 E946048:E946056 E946084:E946092 E946120:E946128 E946156:E946164 E946192:E946200 E946228:E946236 E946264:E946272 E946300:E946308 E946336:E946344 E946372:E946380 E946408:E946416 E946444:E946452 E946480:E946488 E946516:E946524 E946552:E946560 E946588:E946596 E946624:E946632 E946660:E946668 E946696:E946704 E946732:E946740 E946768:E946776 E946804:E946812 E946840:E946848 E946876:E946884 E946912:E946920 E946948:E946956 E946984:E946992 E947020:E947028 E947056:E947064 E947092:E947100 E947128:E947136 E947164:E947172 E947200:E947208 E947236:E947244 E947272:E947280 E947308:E947316 E947344:E947352 E947380:E947388 E947416:E947424 E947452:E947460 E947488:E947496 E947524:E947532 E947560:E947568 E947596:E947604 E947632:E947640 E947668:E947676 E947704:E947712 E947740:E947748 E947776:E947784 E947812:E947820 E947848:E947856 E947884:E947892 E947920:E947928 E947956:E947964 E947992:E948000 E948028:E948036 E948064:E948072 E948100:E948108 E948136:E948144 E948172:E948180 E948208:E948216 E948244:E948252 E948280:E948288 E948316:E948324 E948352:E948360 E948388:E948396 E948424:E948432 E948460:E948468 E948496:E948504 E948532:E948540 E948568:E948576 E948604:E948612 E948640:E948648 E948676:E948684 E948712:E948720 E948748:E948756 E948784:E948792 E948820:E948828 E948856:E948864 E948892:E948900 E948928:E948936 E948964:E948972 E949000:E949008 E949036:E949044 E949072:E949080 E949108:E949116 E949144:E949152 E949180:E949188 E949216:E949224 E949252:E949260 E949288:E949296 E949324:E949332 E949360:E949368 E949396:E949404 E949432:E949440 E949468:E949476 E949504:E949512 E949540:E949548 E949576:E949584 E949612:E949620 E949648:E949656 E949684:E949692 E949720:E949728 E949756:E949764 E949792:E949800 E949828:E949836 E949864:E949872 E949900:E949908 E949936:E949944 E949972:E949980 E950008:E950016 E950044:E950052 E950080:E950088 E950116:E950124 E950152:E950160 E950188:E950196 E950224:E950232 E950260:E950268 E950296:E950304 E950332:E950340 E950368:E950376 E950404:E950412 E950440:E950448 E950476:E950484 E950512:E950520 E950548:E950556 E950584:E950592 E950620:E950628 E950656:E950664 E950692:E950700 E950728:E950736 E950764:E950772 E950800:E950808 E950836:E950844 E950872:E950880 E950908:E950916 E950944:E950952 E950980:E950988 E951016:E951024 E951052:E951060 E951088:E951096 E951124:E951132 E951160:E951168 E951196:E951204 E951232:E951240 E951268:E951276 E951304:E951312 E951340:E951348 E951376:E951384 E951412:E951420 E951448:E951456 E951484:E951492 E951520:E951528 E951556:E951564 E951592:E951600 E951628:E951636 E951664:E951672 E951700:E951708 E951736:E951744 E951772:E951780 E951808:E951816 E951844:E951852 E951880:E951888 E951916:E951924 E951952:E951960 E951988:E951996 E952024:E952032 E952060:E952068 E952096:E952104 E952132:E952140 E952168:E952176 E952204:E952212 E952240:E952248 E952276:E952284 E952312:E952320 E952348:E952356 E952384:E952392 E952420:E952428 E952456:E952464 E952492:E952500 E952528:E952536 E952564:E952572 E952600:E952608 E952636:E952644 E952672:E952680 E952708:E952716 E952744:E952752 E952780:E952788 E952816:E952824 E952852:E952860 E952888:E952896 E952924:E952932 E952960:E952968 E952996:E953004 E953032:E953040 E953068:E953076 E953104:E953112 E953140:E953148 E953176:E953184 E953212:E953220 E953248:E953256 E953284:E953292 E953320:E953328 E953356:E953364 E953392:E953400 E953428:E953436 E953464:E953472 E953500:E953508 E953536:E953544 E953572:E953580 E953608:E953616 E953644:E953652 E953680:E953688 E953716:E953724 E953752:E953760 E953788:E953796 E953824:E953832 E953860:E953868 E953896:E953904 E953932:E953940 E953968:E953976 E954004:E954012 E954040:E954048 E954076:E954084 E954112:E954120 E954148:E954156 E954184:E954192 E954220:E954228 E954256:E954264 E954292:E954300 E954328:E954336 E954364:E954372 E954400:E954408 E954436:E954444 E954472:E954480 E954508:E954516 E954544:E954552 E954580:E954588 E954616:E954624 E954652:E954660 E954688:E954696 E954724:E954732 E954760:E954768 E954796:E954804 E954832:E954840 E954868:E954876 E954904:E954912 E954940:E954948 E954976:E954984 E955012:E955020 E955048:E955056 E955084:E955092 E955120:E955128 E955156:E955164 E955192:E955200 E955228:E955236 E955264:E955272 E955300:E955308 E955336:E955344 E955372:E955380 E955408:E955416 E955444:E955452 E955480:E955488 E955516:E955524 E955552:E955560 E955588:E955596 E955624:E955632 E955660:E955668 E955696:E955704 E955732:E955740 E955768:E955776 E955804:E955812 E955840:E955848 E955876:E955884 E955912:E955920 E955948:E955956 E955984:E955992 E956020:E956028 E956056:E956064 E956092:E956100 E956128:E956136 E956164:E956172 E956200:E956208 E956236:E956244 E956272:E956280 E956308:E956316 E956344:E956352 E956380:E956388 E956416:E956424 E956452:E956460 E956488:E956496 E956524:E956532 E956560:E956568 E956596:E956604 E956632:E956640 E956668:E956676 E956704:E956712 E956740:E956748 E956776:E956784 E956812:E956820 E956848:E956856 E956884:E956892 E956920:E956928 E956956:E956964 E956992:E957000 E957028:E957036 E957064:E957072 E957100:E957108 E957136:E957144 E957172:E957180 E957208:E957216 E957244:E957252 E957280:E957288 E957316:E957324 E957352:E957360 E957388:E957396 E957424:E957432 E957460:E957468 E957496:E957504 E957532:E957540 E957568:E957576 E957604:E957612 E957640:E957648 E957676:E957684 E957712:E957720 E957748:E957756 E957784:E957792 E957820:E957828 E957856:E957864 E957892:E957900 E957928:E957936 E957964:E957972 E958000:E958008 E958036:E958044 E958072:E958080 E958108:E958116 E958144:E958152 E958180:E958188 E958216:E958224 E958252:E958260 E958288:E958296 E958324:E958332 E958360:E958368 E958396:E958404 E958432:E958440 E958468:E958476 E958504:E958512 E958540:E958548 E958576:E958584 E958612:E958620 E958648:E958656 E958684:E958692 E958720:E958728 E958756:E958764 E958792:E958800 E958828:E958836 E958864:E958872 E958900:E958908 E958936:E958944 E958972:E958980 E959008:E959016 E959044:E959052 E959080:E959088 E959116:E959124 E959152:E959160 E959188:E959196 E959224:E959232 E959260:E959268 E959296:E959304 E959332:E959340 E959368:E959376 E959404:E959412 E959440:E959448 E959476:E959484 E959512:E959520 E959548:E959556 E959584:E959592 E959620:E959628 E959656:E959664 E959692:E959700 E959728:E959736 E959764:E959772 E959800:E959808 E959836:E959844 E959872:E959880 E959908:E959916 E959944:E959952 E959980:E959988 E960016:E960024 E960052:E960060 E960088:E960096 E960124:E960132 E960160:E960168 E960196:E960204 E960232:E960240 E960268:E960276 E960304:E960312 E960340:E960348 E960376:E960384 E960412:E960420 E960448:E960456 E960484:E960492 E960520:E960528 E960556:E960564 E960592:E960600 E960628:E960636 E960664:E960672 E960700:E960708 E960736:E960744 E960772:E960780 E960808:E960816 E960844:E960852 E960880:E960888 E960916:E960924 E960952:E960960 E960988:E960996 E961024:E961032 E961060:E961068 E961096:E961104 E961132:E961140 E961168:E961176 E961204:E961212 E961240:E961248 E961276:E961284 E961312:E961320 E961348:E961356 E961384:E961392 E961420:E961428 E961456:E961464 E961492:E961500 E961528:E961536 E961564:E961572 E961600:E961608 E961636:E961644 E961672:E961680 E961708:E961716 E961744:E961752 E961780:E961788 E961816:E961824 E961852:E961860 E961888:E961896 E961924:E961932 E961960:E961968 E961996:E962004 E962032:E962040 E962068:E962076 E962104:E962112 E962140:E962148 E962176:E962184 E962212:E962220 E962248:E962256 E962284:E962292 E962320:E962328 E962356:E962364 E962392:E962400 E962428:E962436 E962464:E962472 E962500:E962508 E962536:E962544 E962572:E962580 E962608:E962616 E962644:E962652 E962680:E962688 E962716:E962724 E962752:E962760 E962788:E962796 E962824:E962832 E962860:E962868 E962896:E962904 E962932:E962940 E962968:E962976 E963004:E963012 E963040:E963048 E963076:E963084 E963112:E963120 E963148:E963156 E963184:E963192 E963220:E963228 E963256:E963264 E963292:E963300 E963328:E963336 E963364:E963372 E963400:E963408 E963436:E963444 E963472:E963480 E963508:E963516 E963544:E963552 E963580:E963588 E963616:E963624 E963652:E963660 E963688:E963696 E963724:E963732 E963760:E963768 E963796:E963804 E963832:E963840 E963868:E963876 E963904:E963912 E963940:E963948 E963976:E963984 E964012:E964020 E964048:E964056 E964084:E964092 E964120:E964128 E964156:E964164 E964192:E964200 E964228:E964236 E964264:E964272 E964300:E964308 E964336:E964344 E964372:E964380 E964408:E964416 E964444:E964452 E964480:E964488 E964516:E964524 E964552:E964560 E964588:E964596 E964624:E964632 E964660:E964668 E964696:E964704 E964732:E964740 E964768:E964776 E964804:E964812 E964840:E964848 E964876:E964884 E964912:E964920 E964948:E964956 E964984:E964992 E965020:E965028 E965056:E965064 E965092:E965100 E965128:E965136 E965164:E965172 E965200:E965208 E965236:E965244 E965272:E965280 E965308:E965316 E965344:E965352 E965380:E965388 E965416:E965424 E965452:E965460 E965488:E965496 E965524:E965532 E965560:E965568 E965596:E965604 E965632:E965640 E965668:E965676 E965704:E965712 E965740:E965748 E965776:E965784 E965812:E965820 E965848:E965856 E965884:E965892 E965920:E965928 E965956:E965964 E965992:E966000 E966028:E966036 E966064:E966072 E966100:E966108 E966136:E966144 E966172:E966180 E966208:E966216 E966244:E966252 E966280:E966288 E966316:E966324 E966352:E966360 E966388:E966396 E966424:E966432 E966460:E966468 E966496:E966504 E966532:E966540 E966568:E966576 E966604:E966612 E966640:E966648 E966676:E966684 E966712:E966720 E966748:E966756 E966784:E966792 E966820:E966828 E966856:E966864 E966892:E966900 E966928:E966936 E966964:E966972 E967000:E967008 E967036:E967044 E967072:E967080 E967108:E967116 E967144:E967152 E967180:E967188 E967216:E967224 E967252:E967260 E967288:E967296 E967324:E967332 E967360:E967368 E967396:E967404 E967432:E967440 E967468:E967476 E967504:E967512 E967540:E967548 E967576:E967584 E967612:E967620 E967648:E967656 E967684:E967692 E967720:E967728 E967756:E967764 E967792:E967800 E967828:E967836 E967864:E967872 E967900:E967908 E967936:E967944 E967972:E967980 E968008:E968016 E968044:E968052 E968080:E968088 E968116:E968124 E968152:E968160 E968188:E968196 E968224:E968232 E968260:E968268 E968296:E968304 E968332:E968340 E968368:E968376 E968404:E968412 E968440:E968448 E968476:E968484 E968512:E968520 E968548:E968556 E968584:E968592 E968620:E968628 E968656:E968664 E968692:E968700 E968728:E968736 E968764:E968772 E968800:E968808 E968836:E968844 E968872:E968880 E968908:E968916 E968944:E968952 E968980:E968988 E969016:E969024 E969052:E969060 E969088:E969096 E969124:E969132 E969160:E969168 E969196:E969204 E969232:E969240 E969268:E969276 E969304:E969312 E969340:E969348 E969376:E969384 E969412:E969420 E969448:E969456 E969484:E969492 E969520:E969528 E969556:E969564 E969592:E969600 E969628:E969636 E969664:E969672 E969700:E969708 E969736:E969744 E969772:E969780 E969808:E969816 E969844:E969852 E969880:E969888 E969916:E969924 E969952:E969960 E969988:E969996 E970024:E970032 E970060:E970068 E970096:E970104 E970132:E970140 E970168:E970176 E970204:E970212 E970240:E970248 E970276:E970284 E970312:E970320 E970348:E970356 E970384:E970392 E970420:E970428 E970456:E970464 E970492:E970500 E970528:E970536 E970564:E970572 E970600:E970608 E970636:E970644 E970672:E970680 E970708:E970716 E970744:E970752 E970780:E970788 E970816:E970824 E970852:E970860 E970888:E970896 E970924:E970932 E970960:E970968 E970996:E971004 E971032:E971040 E971068:E971076 E971104:E971112 E971140:E971148 E971176:E971184 E971212:E971220 E971248:E971256 E971284:E971292 E971320:E971328 E971356:E971364 E971392:E971400 E971428:E971436 E971464:E971472 E971500:E971508 E971536:E971544 E971572:E971580 E971608:E971616 E971644:E971652 E971680:E971688 E971716:E971724 E971752:E971760 E971788:E971796 E971824:E971832 E971860:E971868 E971896:E971904 E971932:E971940 E971968:E971976 E972004:E972012 E972040:E972048 E972076:E972084 E972112:E972120 E972148:E972156 E972184:E972192 E972220:E972228 E972256:E972264 E972292:E972300 E972328:E972336 E972364:E972372 E972400:E972408 E972436:E972444 E972472:E972480 E972508:E972516 E972544:E972552 E972580:E972588 E972616:E972624 E972652:E972660 E972688:E972696 E972724:E972732 E972760:E972768 E972796:E972804 E972832:E972840 E972868:E972876 E972904:E972912 E972940:E972948 E972976:E972984 E973012:E973020 E973048:E973056 E973084:E973092 E973120:E973128 E973156:E973164 E973192:E973200 E973228:E973236 E973264:E973272 E973300:E973308 E973336:E973344 E973372:E973380 E973408:E973416 E973444:E973452 E973480:E973488 E973516:E973524 E973552:E973560 E973588:E973596 E973624:E973632 E973660:E973668 E973696:E973704 E973732:E973740 E973768:E973776 E973804:E973812 E973840:E973848 E973876:E973884 E973912:E973920 E973948:E973956 E973984:E973992 E974020:E974028 E974056:E974064 E974092:E974100 E974128:E974136 E974164:E974172 E974200:E974208 E974236:E974244 E974272:E974280 E974308:E974316 E974344:E974352 E974380:E974388 E974416:E974424 E974452:E974460 E974488:E974496 E974524:E974532 E974560:E974568 E974596:E974604 E974632:E974640 E974668:E974676 E974704:E974712 E974740:E974748 E974776:E974784 E974812:E974820 E974848:E974856 E974884:E974892 E974920:E974928 E974956:E974964 E974992:E975000 E975028:E975036 E975064:E975072 E975100:E975108 E975136:E975144 E975172:E975180 E975208:E975216 E975244:E975252 E975280:E975288 E975316:E975324 E975352:E975360 E975388:E975396 E975424:E975432 E975460:E975468 E975496:E975504 E975532:E975540 E975568:E975576 E975604:E975612 E975640:E975648 E975676:E975684 E975712:E975720 E975748:E975756 E975784:E975792 E975820:E975828 E975856:E975864 E975892:E975900 E975928:E975936 E975964:E975972 E976000:E976008 E976036:E976044 E976072:E976080 E976108:E976116 E976144:E976152 E976180:E976188 E976216:E976224 E976252:E976260 E976288:E976296 E976324:E976332 E976360:E976368 E976396:E976404 E976432:E976440 E976468:E976476 E976504:E976512 E976540:E976548 E976576:E976584 E976612:E976620 E976648:E976656 E976684:E976692 E976720:E976728 E976756:E976764 E976792:E976800 E976828:E976836 E976864:E976872 E976900:E976908 E976936:E976944 E976972:E976980 E977008:E977016 E977044:E977052 E977080:E977088 E977116:E977124 E977152:E977160 E977188:E977196 E977224:E977232 E977260:E977268 E977296:E977304 E977332:E977340 E977368:E977376 E977404:E977412 E977440:E977448 E977476:E977484 E977512:E977520 E977548:E977556 E977584:E977592 E977620:E977628 E977656:E977664 E977692:E977700 E977728:E977736 E977764:E977772 E977800:E977808 E977836:E977844 E977872:E977880 E977908:E977916 E977944:E977952 E977980:E977988 E978016:E978024 E978052:E978060 E978088:E978096 E978124:E978132 E978160:E978168 E978196:E978204 E978232:E978240 E978268:E978276 E978304:E978312 E978340:E978348 E978376:E978384 E978412:E978420 E978448:E978456 E978484:E978492 E978520:E978528 E978556:E978564 E978592:E978600 E978628:E978636 E978664:E978672 E978700:E978708 E978736:E978744 E978772:E978780 E978808:E978816 E978844:E978852 E978880:E978888 E978916:E978924 E978952:E978960 E978988:E978996 E979024:E979032 E979060:E979068 E979096:E979104 E979132:E979140 E979168:E979176 E979204:E979212 E979240:E979248 E979276:E979284 E979312:E979320 E979348:E979356 E979384:E979392 E979420:E979428 E979456:E979464 E979492:E979500 E979528:E979536 E979564:E979572 E979600:E979608 E979636:E979644 E979672:E979680 E979708:E979716 E979744:E979752 E979780:E979788 E979816:E979824 E979852:E979860 E979888:E979896 E979924:E979932 E979960:E979968 E979996:E980004 E980032:E980040 E980068:E980076 E980104:E980112 E980140:E980148 E980176:E980184 E980212:E980220 E980248:E980256 E980284:E980292 E980320:E980328 E980356:E980364 E980392:E980400 E980428:E980436 E980464:E980472 E980500:E980508 E980536:E980544 E980572:E980580 E980608:E980616 E980644:E980652 E980680:E980688 E980716:E980724 E980752:E980760 E980788:E980796 E980824:E980832 E980860:E980868 E980896:E980904 E980932:E980940 E980968:E980976 E981004:E981012 E981040:E981048 E981076:E981084 E981112:E981120 E981148:E981156 E981184:E981192 E981220:E981228 E981256:E981264 E981292:E981300 E981328:E981336 E981364:E981372 E981400:E981408 E981436:E981444 E981472:E981480 E981508:E981516 E981544:E981552 E981580:E981588 E981616:E981624 E981652:E981660 E981688:E981696 E981724:E981732 E981760:E981768 E981796:E981804 E981832:E981840 E981868:E981876 E981904:E981912 E981940:E981948 E981976:E981984 E982012:E982020 E982048:E982056 E982084:E982092 E982120:E982128 E982156:E982164 E982192:E982200 E982228:E982236 E982264:E982272 E982300:E982308 E982336:E982344 E982372:E982380 E982408:E982416 E982444:E982452 E982480:E982488 E982516:E982524 E982552:E982560 E982588:E982596 E982624:E982632 E982660:E982668 E982696:E982704 E982732:E982740 E982768:E982776 E982804:E982812 E982840:E982848 E982876:E982884 E982912:E982920 E982948:E982956 E982984:E982992 E983020:E983028 E983056:E983064 E983092:E983100 E983128:E983136 E983164:E983172 E983200:E983208 E983236:E983244 E983272:E983280 E983308:E983316 E983344:E983352 E983380:E983388 E983416:E983424 E983452:E983460 E983488:E983496 E983524:E983532 E983560:E983568 E983596:E983604 E983632:E983640 E983668:E983676 E983704:E983712 E983740:E983748 E983776:E983784 E983812:E983820 E983848:E983856 E983884:E983892 E983920:E983928 E983956:E983964 E983992:E984000 E984028:E984036 E984064:E984072 E984100:E984108 E984136:E984144 E984172:E984180 E984208:E984216 E984244:E984252 E984280:E984288 E984316:E984324 E984352:E984360 E984388:E984396 E984424:E984432 E984460:E984468 E984496:E984504 E984532:E984540 E984568:E984576 E984604:E984612 E984640:E984648 E984676:E984684 E984712:E984720 E984748:E984756 E984784:E984792 E984820:E984828 E984856:E984864 E984892:E984900 E984928:E984936 E984964:E984972 E985000:E985008 E985036:E985044 E985072:E985080 E985108:E985116 E985144:E985152 E985180:E985188 E985216:E985224 E985252:E985260 E985288:E985296 E985324:E985332 E985360:E985368 E985396:E985404 E985432:E985440 E985468:E985476 E985504:E985512 E985540:E985548 E985576:E985584 E985612:E985620 E985648:E985656 E985684:E985692 E985720:E985728 E985756:E985764 E985792:E985800 E985828:E985836 E985864:E985872 E985900:E985908 E985936:E985944 E985972:E985980 E986008:E986016 E986044:E986052 E986080:E986088 E986116:E986124 E986152:E986160 E986188:E986196 E986224:E986232 E986260:E986268 E986296:E986304 E986332:E986340 E986368:E986376 E986404:E986412 E986440:E986448 E986476:E986484 E986512:E986520 E986548:E986556 E986584:E986592 E986620:E986628 E986656:E986664 E986692:E986700 E986728:E986736 E986764:E986772 E986800:E986808 E986836:E986844 E986872:E986880 E986908:E986916 E986944:E986952 E986980:E986988 E987016:E987024 E987052:E987060 E987088:E987096 E987124:E987132 E987160:E987168 E987196:E987204 E987232:E987240 E987268:E987276 E987304:E987312 E987340:E987348 E987376:E987384 E987412:E987420 E987448:E987456 E987484:E987492 E987520:E987528 E987556:E987564 E987592:E987600 E987628:E987636 E987664:E987672 E987700:E987708 E987736:E987744 E987772:E987780 E987808:E987816 E987844:E987852 E987880:E987888 E987916:E987924 E987952:E987960 E987988:E987996 E988024:E988032 E988060:E988068 E988096:E988104 E988132:E988140 E988168:E988176 E988204:E988212 E988240:E988248 E988276:E988284 E988312:E988320 E988348:E988356 E988384:E988392 E988420:E988428 E988456:E988464 E988492:E988500 E988528:E988536 E988564:E988572 E988600:E988608 E988636:E988644 E988672:E988680 E988708:E988716 E988744:E988752 E988780:E988788 E988816:E988824 E988852:E988860 E988888:E988896 E988924:E988932 E988960:E988968 E988996:E989004 E989032:E989040 E989068:E989076 E989104:E989112 E989140:E989148 E989176:E989184 E989212:E989220 E989248:E989256 E989284:E989292 E989320:E989328 E989356:E989364 E989392:E989400 E989428:E989436 E989464:E989472 E989500:E989508 E989536:E989544 E989572:E989580 E989608:E989616 E989644:E989652 E989680:E989688 E989716:E989724 E989752:E989760 E989788:E989796 E989824:E989832 E989860:E989868 E989896:E989904 E989932:E989940 E989968:E989976 E990004:E990012 E990040:E990048 E990076:E990084 E990112:E990120 E990148:E990156 E990184:E990192 E990220:E990228 E990256:E990264 E990292:E990300 E990328:E990336 E990364:E990372 E990400:E990408 E990436:E990444 E990472:E990480 E990508:E990516 E990544:E990552 E990580:E990588 E990616:E990624 E990652:E990660 E990688:E990696 E990724:E990732 E990760:E990768 E990796:E990804 E990832:E990840 E990868:E990876 E990904:E990912 E990940:E990948 E990976:E990984 E991012:E991020 E991048:E991056 E991084:E991092 E991120:E991128 E991156:E991164 E991192:E991200 E991228:E991236 E991264:E991272 E991300:E991308 E991336:E991344 E991372:E991380 E991408:E991416 E991444:E991452 E991480:E991488 E991516:E991524 E991552:E991560 E991588:E991596 E991624:E991632 E991660:E991668 E991696:E991704 E991732:E991740 E991768:E991776 E991804:E991812 E991840:E991848 E991876:E991884 E991912:E991920 E991948:E991956 E991984:E991992 E992020:E992028 E992056:E992064 E992092:E992100 E992128:E992136 E992164:E992172 E992200:E992208 E992236:E992244 E992272:E992280 E992308:E992316 E992344:E992352 E992380:E992388 E992416:E992424 E992452:E992460 E992488:E992496 E992524:E992532 E992560:E992568 E992596:E992604 E992632:E992640 E992668:E992676 E992704:E992712 E992740:E992748 E992776:E992784 E992812:E992820 E992848:E992856 E992884:E992892 E992920:E992928 E992956:E992964 E992992:E993000 E993028:E993036 E993064:E993072 E993100:E993108 E993136:E993144 E993172:E993180 E993208:E993216 E993244:E993252 E993280:E993288 E993316:E993324 E993352:E993360 E993388:E993396 E993424:E993432 E993460:E993468 E993496:E993504 E993532:E993540 E993568:E993576 E993604:E993612 E993640:E993648 E993676:E993684 E993712:E993720 E993748:E993756 E993784:E993792 E993820:E993828 E993856:E993864 E993892:E993900 E993928:E993936 E993964:E993972 E994000:E994008 E994036:E994044 E994072:E994080 E994108:E994116 E994144:E994152 E994180:E994188 E994216:E994224 E994252:E994260 E994288:E994296 E994324:E994332 E994360:E994368 E994396:E994404 E994432:E994440 E994468:E994476 E994504:E994512 E994540:E994548 E994576:E994584 E994612:E994620 E994648:E994656 E994684:E994692 E994720:E994728 E994756:E994764 E994792:E994800 E994828:E994836 E994864:E994872 E994900:E994908 E994936:E994944 E994972:E994980 E995008:E995016 E995044:E995052 E995080:E995088 E995116:E995124 E995152:E995160 E995188:E995196 E995224:E995232 E995260:E995268 E995296:E995304 E995332:E995340 E995368:E995376 E995404:E995412 E995440:E995448 E995476:E995484 E995512:E995520 E995548:E995556 E995584:E995592 E995620:E995628 E995656:E995664 E995692:E995700 E995728:E995736 E995764:E995772 E995800:E995808 E995836:E995844 E995872:E995880 E995908:E995916 E995944:E995952 E995980:E995988 E996016:E996024 E996052:E996060 E996088:E996096 E996124:E996132 E996160:E996168 E996196:E996204 E996232:E996240 E996268:E996276 E996304:E996312 E996340:E996348 E996376:E996384 E996412:E996420 E996448:E996456 E996484:E996492 E996520:E996528 E996556:E996564 E996592:E996600 E996628:E996636 E996664:E996672 E996700:E996708 E996736:E996744 E996772:E996780 E996808:E996816 E996844:E996852 E996880:E996888 E996916:E996924 E996952:E996960 E996988:E996996 E997024:E997032 E997060:E997068 E997096:E997104 E997132:E997140 E997168:E997176 E997204:E997212 E997240:E997248 E997276:E997284 E997312:E997320 E997348:E997356 E997384:E997392 E997420:E997428 E997456:E997464 E997492:E997500 E997528:E997536 E997564:E997572 E997600:E997608 E997636:E997644 E997672:E997680 E997708:E997716 E997744:E997752 E997780:E997788 E997816:E997824 E997852:E997860 E997888:E997896 E997924:E997932 E997960:E997968 E997996:E998004 E998032:E998040 E998068:E998076 E998104:E998112 E998140:E998148 E998176:E998184 E998212:E998220 E998248:E998256 E998284:E998292 E998320:E998328 E998356:E998364 E998392:E998400 E998428:E998436 E998464:E998472 E998500:E998508 E998536:E998544 E998572:E998580 E998608:E998616 E998644:E998652 E998680:E998688 E998716:E998724 E998752:E998760 E998788:E998796 E998824:E998832 E998860:E998868 E998896:E998904 E998932:E998940 E998968:E998976 E999004:E999012 E999040:E999048 E999076:E999084 E999112:E999120 E999148:E999156 E999184:E999192 E999220:E999228 E999256:E999264 E999292:E999300 E999328:E999336 E999364:E999372 E999400:E999408 E999436:E999444 E999472:E999480 E999508:E999516 E999544:E999552 E999580:E999588 E999616:E999624 E999652:E999660 E999688:E999696 E999724:E999732 E999760:E999768 E999796:E999804 E999832:E999840 E999868:E999876 E999904:E999912 E999940:E999948 E999976:E999984 E1000012:E1000020 E1000048:E1000056 E1000084:E1000092 E1000120:E1000128 E1000156:E1000164 E1000192:E1000200 E1000228:E1000236 E1000264:E1000272 E1000300:E1000308 E1000336:E1000344 E1000372:E1000380 E1000408:E1000416 E1000444:E1000452 E1000480:E1000488 E1000516:E1000524 E1000552:E1000560 E1000588:E1000596 E1000624:E1000632 E1000660:E1000668 E1000696:E1000704 E1000732:E1000740 E1000768:E1000776 E1000804:E1000812 E1000840:E1000848 E1000876:E1000884 E1000912:E1000920 E1000948:E1000956 E1000984:E1000992 E1001020:E1001028 E1001056:E1001064 E1001092:E1001100 E1001128:E1001136 E1001164:E1001172 E1001200:E1001208 E1001236:E1001244 E1001272:E1001280 E1001308:E1001316 E1001344:E1001352 E1001380:E1001388 E1001416:E1001424 E1001452:E1001460 E1001488:E1001496 E1001524:E1001532 E1001560:E1001568 E1001596:E1001604 E1001632:E1001640 E1001668:E1001676 E1001704:E1001712 E1001740:E1001748 E1001776:E1001784 E1001812:E1001820 E1001848:E1001856 E1001884:E1001892 E1001920:E1001928 E1001956:E1001964 E1001992:E1002000 E1002028:E1002036 E1002064:E1002072 E1002100:E1002108 E1002136:E1002144 E1002172:E1002180 E1002208:E1002216 E1002244:E1002252 E1002280:E1002288 E1002316:E1002324 E1002352:E1002360 E1002388:E1002396 E1002424:E1002432 E1002460:E1002468 E1002496:E1002504 E1002532:E1002540 E1002568:E1002576 E1002604:E1002612 E1002640:E1002648 E1002676:E1002684 E1002712:E1002720 E1002748:E1002756 E1002784:E1002792 E1002820:E1002828 E1002856:E1002864 E1002892:E1002900 E1002928:E1002936 E1002964:E1002972 E1003000:E1003008 E1003036:E1003044 E1003072:E1003080 E1003108:E1003116 E1003144:E1003152 E1003180:E1003188 E1003216:E1003224 E1003252:E1003260 E1003288:E1003296 E1003324:E1003332 E1003360:E1003368 E1003396:E1003404 E1003432:E1003440 E1003468:E1003476 E1003504:E1003512 E1003540:E1003548 E1003576:E1003584 E1003612:E1003620 E1003648:E1003656 E1003684:E1003692 E1003720:E1003728 E1003756:E1003764 E1003792:E1003800 E1003828:E1003836 E1003864:E1003872 E1003900:E1003908 E1003936:E1003944 E1003972:E1003980 E1004008:E1004016 E1004044:E1004052 E1004080:E1004088 E1004116:E1004124 E1004152:E1004160 E1004188:E1004196 E1004224:E1004232 E1004260:E1004268 E1004296:E1004304 E1004332:E1004340 E1004368:E1004376 E1004404:E1004412 E1004440:E1004448 E1004476:E1004484 E1004512:E1004520 E1004548:E1004556 E1004584:E1004592 E1004620:E1004628 E1004656:E1004664 E1004692:E1004700 E1004728:E1004736 E1004764:E1004772 E1004800:E1004808 E1004836:E1004844 E1004872:E1004880 E1004908:E1004916 E1004944:E1004952 E1004980:E1004988 E1005016:E1005024 E1005052:E1005060 E1005088:E1005096 E1005124:E1005132 E1005160:E1005168 E1005196:E1005204 E1005232:E1005240 E1005268:E1005276 E1005304:E1005312 E1005340:E1005348 E1005376:E1005384 E1005412:E1005420 E1005448:E1005456 E1005484:E1005492 E1005520:E1005528 E1005556:E1005564 E1005592:E1005600 E1005628:E1005636 E1005664:E1005672 E1005700:E1005708 E1005736:E1005744 E1005772:E1005780 E1005808:E1005816 E1005844:E1005852 E1005880:E1005888 E1005916:E1005924 E1005952:E1005960 E1005988:E1005996 E1006024:E1006032 E1006060:E1006068 E1006096:E1006104 E1006132:E1006140 E1006168:E1006176 E1006204:E1006212 E1006240:E1006248 E1006276:E1006284 E1006312:E1006320 E1006348:E1006356 E1006384:E1006392 E1006420:E1006428 E1006456:E1006464 E1006492:E1006500 E1006528:E1006536 E1006564:E1006572 E1006600:E1006608 E1006636:E1006644 E1006672:E1006680 E1006708:E1006716 E1006744:E1006752 E1006780:E1006788 E1006816:E1006824 E1006852:E1006860 E1006888:E1006896 E1006924:E1006932 E1006960:E1006968 E1006996:E1007004 E1007032:E1007040 E1007068:E1007076 E1007104:E1007112 E1007140:E1007148 E1007176:E1007184 E1007212:E1007220 E1007248:E1007256 E1007284:E1007292 E1007320:E1007328 E1007356:E1007364 E1007392:E1007400 E1007428:E1007436 E1007464:E1007472 E1007500:E1007508 E1007536:E1007544 E1007572:E1007580 E1007608:E1007616 E1007644:E1007652 E1007680:E1007688 E1007716:E1007724 E1007752:E1007760 E1007788:E1007796 E1007824:E1007832 E1007860:E1007868 E1007896:E1007904 E1007932:E1007940 E1007968:E1007976 E1008004:E1008012 E1008040:E1008048 E1008076:E1008084 E1008112:E1008120 E1008148:E1008156 E1008184:E1008192 E1008220:E1008228 E1008256:E1008264 E1008292:E1008300 E1008328:E1008336 E1008364:E1008372 E1008400:E1008408 E1008436:E1008444 E1008472:E1008480 E1008508:E1008516 E1008544:E1008552 E1008580:E1008588 E1008616:E1008624 E1008652:E1008660 E1008688:E1008696 E1008724:E1008732 E1008760:E1008768 E1008796:E1008804 E1008832:E1008840 E1008868:E1008876 E1008904:E1008912 E1008940:E1008948 E1008976:E1008984 E1009012:E1009020 E1009048:E1009056 E1009084:E1009092 E1009120:E1009128 E1009156:E1009164 E1009192:E1009200 E1009228:E1009236 E1009264:E1009272 E1009300:E1009308 E1009336:E1009344 E1009372:E1009380 E1009408:E1009416 E1009444:E1009452 E1009480:E1009488 E1009516:E1009524 E1009552:E1009560 E1009588:E1009596 E1009624:E1009632 E1009660:E1009668 E1009696:E1009704 E1009732:E1009740 E1009768:E1009776 E1009804:E1009812 E1009840:E1009848 E1009876:E1009884 E1009912:E1009920 E1009948:E1009956 E1009984:E1009992 E1010020:E1010028 E1010056:E1010064 E1010092:E1010100 E1010128:E1010136 E1010164:E1010172 E1010200:E1010208 E1010236:E1010244 E1010272:E1010280 E1010308:E1010316 E1010344:E1010352 E1010380:E1010388 E1010416:E1010424 E1010452:E1010460 E1010488:E1010496 E1010524:E1010532 E1010560:E1010568 E1010596:E1010604 E1010632:E1010640 E1010668:E1010676 E1010704:E1010712 E1010740:E1010748 E1010776:E1010784 E1010812:E1010820 E1010848:E1010856 E1010884:E1010892 E1010920:E1010928 E1010956:E1010964 E1010992:E1011000 E1011028:E1011036 E1011064:E1011072 E1011100:E1011108 E1011136:E1011144 E1011172:E1011180 E1011208:E1011216 E1011244:E1011252 E1011280:E1011288 E1011316:E1011324 E1011352:E1011360 E1011388:E1011396 E1011424:E1011432 E1011460:E1011468 E1011496:E1011504 E1011532:E1011540 E1011568:E1011576 E1011604:E1011612 E1011640:E1011648 E1011676:E1011684 E1011712:E1011720 E1011748:E1011756 E1011784:E1011792 E1011820:E1011828 E1011856:E1011864 E1011892:E1011900 E1011928:E1011936 E1011964:E1011972 E1012000:E1012008 E1012036:E1012044 E1012072:E1012080 E1012108:E1012116 E1012144:E1012152 E1012180:E1012188 E1012216:E1012224 E1012252:E1012260 E1012288:E1012296 E1012324:E1012332 E1012360:E1012368 E1012396:E1012404 E1012432:E1012440 E1012468:E1012476 E1012504:E1012512 E1012540:E1012548 E1012576:E1012584 E1012612:E1012620 E1012648:E1012656 E1012684:E1012692 E1012720:E1012728 E1012756:E1012764 E1012792:E1012800 E1012828:E1012836 E1012864:E1012872 E1012900:E1012908 E1012936:E1012944 E1012972:E1012980 E1013008:E1013016 E1013044:E1013052 E1013080:E1013088 E1013116:E1013124 E1013152:E1013160 E1013188:E1013196 E1013224:E1013232 E1013260:E1013268 E1013296:E1013304 E1013332:E1013340 E1013368:E1013376 E1013404:E1013412 E1013440:E1013448 E1013476:E1013484 E1013512:E1013520 E1013548:E1013556 E1013584:E1013592 E1013620:E1013628 E1013656:E1013664 E1013692:E1013700 E1013728:E1013736 E1013764:E1013772 E1013800:E1013808 E1013836:E1013844 E1013872:E1013880 E1013908:E1013916 E1013944:E1013952 E1013980:E1013988 E1014016:E1014024 E1014052:E1014060 E1014088:E1014096 E1014124:E1014132 E1014160:E1014168 E1014196:E1014204 E1014232:E1014240 E1014268:E1014276 E1014304:E1014312 E1014340:E1014348 E1014376:E1014384 E1014412:E1014420 E1014448:E1014456 E1014484:E1014492 E1014520:E1014528 E1014556:E1014564 E1014592:E1014600 E1014628:E1014636 E1014664:E1014672 E1014700:E1014708 E1014736:E1014744 E1014772:E1014780 E1014808:E1014816 E1014844:E1014852 E1014880:E1014888 E1014916:E1014924 E1014952:E1014960 E1014988:E1014996 E1015024:E1015032 E1015060:E1015068 E1015096:E1015104 E1015132:E1015140 E1015168:E1015176 E1015204:E1015212 E1015240:E1015248 E1015276:E1015284 E1015312:E1015320 E1015348:E1015356 E1015384:E1015392 E1015420:E1015428 E1015456:E1015464 E1015492:E1015500 E1015528:E1015536 E1015564:E1015572 E1015600:E1015608 E1015636:E1015644 E1015672:E1015680 E1015708:E1015716 E1015744:E1015752 E1015780:E1015788 E1015816:E1015824 E1015852:E1015860 E1015888:E1015896 E1015924:E1015932 E1015960:E1015968 E1015996:E1016004 E1016032:E1016040 E1016068:E1016076 E1016104:E1016112 E1016140:E1016148 E1016176:E1016184 E1016212:E1016220 E1016248:E1016256 E1016284:E1016292 E1016320:E1016328 E1016356:E1016364 E1016392:E1016400 E1016428:E1016436 E1016464:E1016472 E1016500:E1016508 E1016536:E1016544 E1016572:E1016580 E1016608:E1016616 E1016644:E1016652 E1016680:E1016688 E1016716:E1016724 E1016752:E1016760 E1016788:E1016796 E1016824:E1016832 E1016860:E1016868 E1016896:E1016904 E1016932:E1016940 E1016968:E1016976 E1017004:E1017012 E1017040:E1017048 E1017076:E1017084 E1017112:E1017120 E1017148:E1017156 E1017184:E1017192 E1017220:E1017228 E1017256:E1017264 E1017292:E1017300 E1017328:E1017336 E1017364:E1017372 E1017400:E1017408 E1017436:E1017444 E1017472:E1017480 E1017508:E1017516 E1017544:E1017552 E1017580:E1017588 E1017616:E1017624 E1017652:E1017660 E1017688:E1017696 E1017724:E1017732 E1017760:E1017768 E1017796:E1017804 E1017832:E1017840 E1017868:E1017876 E1017904:E1017912 E1017940:E1017948 E1017976:E1017984 E1018012:E1018020 E1018048:E1018056 E1018084:E1018092 E1018120:E1018128 E1018156:E1018164 E1018192:E1018200 E1018228:E1018236 E1018264:E1018272 E1018300:E1018308 E1018336:E1018344 E1018372:E1018380 E1018408:E1018416 E1018444:E1018452 E1018480:E1018488 E1018516:E1018524 E1018552:E1018560 E1018588:E1018596 E1018624:E1018632 E1018660:E1018668 E1018696:E1018704 E1018732:E1018740 E1018768:E1018776 E1018804:E1018812 E1018840:E1018848 E1018876:E1018884 E1018912:E1018920 E1018948:E1018956 E1018984:E1018992 E1019020:E1019028 E1019056:E1019064 E1019092:E1019100 E1019128:E1019136 E1019164:E1019172 E1019200:E1019208 E1019236:E1019244 E1019272:E1019280 E1019308:E1019316 E1019344:E1019352 E1019380:E1019388 E1019416:E1019424 E1019452:E1019460 E1019488:E1019496 E1019524:E1019532 E1019560:E1019568 E1019596:E1019604 E1019632:E1019640 E1019668:E1019676 E1019704:E1019712 E1019740:E1019748 E1019776:E1019784 E1019812:E1019820 E1019848:E1019856 E1019884:E1019892 E1019920:E1019928 E1019956:E1019964 E1019992:E1020000 E1020028:E1020036 E1020064:E1020072 E1020100:E1020108 E1020136:E1020144 E1020172:E1020180 E1020208:E1020216 E1020244:E1020252 E1020280:E1020288 E1020316:E1020324 E1020352:E1020360 E1020388:E1020396 E1020424:E1020432 E1020460:E1020468 E1020496:E1020504 E1020532:E1020540 E1020568:E1020576 E1020604:E1020612 E1020640:E1020648 E1020676:E1020684 E1020712:E1020720 E1020748:E1020756 E1020784:E1020792 E1020820:E1020828 E1020856:E1020864 E1020892:E1020900 E1020928:E1020936 E1020964:E1020972 E1021000:E1021008 E1021036:E1021044 E1021072:E1021080 E1021108:E1021116 E1021144:E1021152 E1021180:E1021188 E1021216:E1021224 E1021252:E1021260 E1021288:E1021296 E1021324:E1021332 E1021360:E1021368 E1021396:E1021404 E1021432:E1021440 E1021468:E1021476 E1021504:E1021512 E1021540:E1021548 E1021576:E1021584 E1021612:E1021620 E1021648:E1021656 E1021684:E1021692 E1021720:E1021728 E1021756:E1021764 E1021792:E1021800 E1021828:E1021836 E1021864:E1021872 E1021900:E1021908 E1021936:E1021944 E1021972:E1021980 E1022008:E1022016 E1022044:E1022052 E1022080:E1022088 E1022116:E1022124 E1022152:E1022160 E1022188:E1022196 E1022224:E1022232 E1022260:E1022268 E1022296:E1022304 E1022332:E1022340 E1022368:E1022376 E1022404:E1022412 E1022440:E1022448 E1022476:E1022484 E1022512:E1022520 E1022548:E1022556 E1022584:E1022592 E1022620:E1022628 E1022656:E1022664 E1022692:E1022700 E1022728:E1022736 E1022764:E1022772 E1022800:E1022808 E1022836:E1022844 E1022872:E1022880 E1022908:E1022916 E1022944:E1022952 E1022980:E1022988 E1023016:E1023024 E1023052:E1023060 E1023088:E1023096 E1023124:E1023132 E1023160:E1023168 E1023196:E1023204 E1023232:E1023240 E1023268:E1023276 E1023304:E1023312 E1023340:E1023348 E1023376:E1023384 E1023412:E1023420 E1023448:E1023456 E1023484:E1023492 E1023520:E1023528 E1023556:E1023564 E1023592:E1023600 E1023628:E1023636 E1023664:E1023672 E1023700:E1023708 E1023736:E1023744 E1023772:E1023780 E1023808:E1023816 E1023844:E1023852 E1023880:E1023888 E1023916:E1023924 E1023952:E1023960 E1023988:E1023996 E1024024:E1024032 E1024060:E1024068 E1024096:E1024104 E1024132:E1024140 E1024168:E1024176 E1024204:E1024212 E1024240:E1024248 E1024276:E1024284 E1024312:E1024320 E1024348:E1024356 E1024384:E1024392 E1024420:E1024428 E1024456:E1024464 E1024492:E1024500 E1024528:E1024536 E1024564:E1024572 E1024600:E1024608 E1024636:E1024644 E1024672:E1024680 E1024708:E1024716 E1024744:E1024752 E1024780:E1024788 E1024816:E1024824 E1024852:E1024860 E1024888:E1024896 E1024924:E1024932 E1024960:E1024968 E1024996:E1025004 E1025032:E1025040 E1025068:E1025076 E1025104:E1025112 E1025140:E1025148 E1025176:E1025184 E1025212:E1025220 E1025248:E1025256 E1025284:E1025292 E1025320:E1025328 E1025356:E1025364 E1025392:E1025400 E1025428:E1025436 E1025464:E1025472 E1025500:E1025508 E1025536:E1025544 E1025572:E1025580 E1025608:E1025616 E1025644:E1025652 E1025680:E1025688 E1025716:E1025724 E1025752:E1025760 E1025788:E1025796 E1025824:E1025832 E1025860:E1025868 E1025896:E1025904 E1025932:E1025940 E1025968:E1025976 E1026004:E1026012 E1026040:E1026048 E1026076:E1026084 E1026112:E1026120 E1026148:E1026156 E1026184:E1026192 E1026220:E1026228 E1026256:E1026264 E1026292:E1026300 E1026328:E1026336 E1026364:E1026372 E1026400:E1026408 E1026436:E1026444 E1026472:E1026480 E1026508:E1026516 E1026544:E1026552 E1026580:E1026588 E1026616:E1026624 E1026652:E1026660 E1026688:E1026696 E1026724:E1026732 E1026760:E1026768 E1026796:E1026804 E1026832:E1026840 E1026868:E1026876 E1026904:E1026912 E1026940:E1026948 E1026976:E1026984 E1027012:E1027020 E1027048:E1027056 E1027084:E1027092 E1027120:E1027128 E1027156:E1027164 E1027192:E1027200 E1027228:E1027236 E1027264:E1027272 E1027300:E1027308 E1027336:E1027344 E1027372:E1027380 E1027408:E1027416 E1027444:E1027452 E1027480:E1027488 E1027516:E1027524 E1027552:E1027560 E1027588:E1027596 E1027624:E1027632 E1027660:E1027668 E1027696:E1027704 E1027732:E1027740 E1027768:E1027776 E1027804:E1027812 E1027840:E1027848 E1027876:E1027884 E1027912:E1027920 E1027948:E1027956 E1027984:E1027992 E1028020:E1028028 E1028056:E1028064 E1028092:E1028100 E1028128:E1028136 E1028164:E1028172 E1028200:E1028208 E1028236:E1028244 E1028272:E1028280 E1028308:E1028316 E1028344:E1028352 E1028380:E1028388 E1028416:E1028424 E1028452:E1028460 E1028488:E1028496 E1028524:E1028532 E1028560:E1028568 E1028596:E1028604 E1028632:E1028640 E1028668:E1028676 E1028704:E1028712 E1028740:E1028748 E1028776:E1028784 E1028812:E1028820 E1028848:E1028856 E1028884:E1028892 E1028920:E1028928 E1028956:E1028964 E1028992:E1029000 E1029028:E1029036 E1029064:E1029072 E1029100:E1029108 E1029136:E1029144 E1029172:E1029180 E1029208:E1029216 E1029244:E1029252 E1029280:E1029288 E1029316:E1029324 E1029352:E1029360 E1029388:E1029396 E1029424:E1029432 E1029460:E1029468 E1029496:E1029504 E1029532:E1029540 E1029568:E1029576 E1029604:E1029612 E1029640:E1029648 E1029676:E1029684 E1029712:E1029720 E1029748:E1029756 E1029784:E1029792 E1029820:E1029828 E1029856:E1029864 E1029892:E1029900 E1029928:E1029936 E1029964:E1029972 E1030000:E1030008 E1030036:E1030044 E1030072:E1030080 E1030108:E1030116 E1030144:E1030152 E1030180:E1030188 E1030216:E1030224 E1030252:E1030260 E1030288:E1030296 E1030324:E1030332 E1030360:E1030368 E1030396:E1030404 E1030432:E1030440 E1030468:E1030476 E1030504:E1030512 E1030540:E1030548 E1030576:E1030584 E1030612:E1030620 E1030648:E1030656 E1030684:E1030692 E1030720:E1030728 E1030756:E1030764 E1030792:E1030800 E1030828:E1030836 E1030864:E1030872 E1030900:E1030908 E1030936:E1030944 E1030972:E1030980 E1031008:E1031016 E1031044:E1031052 E1031080:E1031088 E1031116:E1031124 E1031152:E1031160 E1031188:E1031196 E1031224:E1031232 E1031260:E1031268 E1031296:E1031304 E1031332:E1031340 E1031368:E1031376 E1031404:E1031412 E1031440:E1031448 E1031476:E1031484 E1031512:E1031520 E1031548:E1031556 E1031584:E1031592 E1031620:E1031628 E1031656:E1031664 E1031692:E1031700 E1031728:E1031736 E1031764:E1031772 E1031800:E1031808 E1031836:E1031844 E1031872:E1031880 E1031908:E1031916 E1031944:E1031952 E1031980:E1031988 E1032016:E1032024 E1032052:E1032060 E1032088:E1032096 E1032124:E1032132 E1032160:E1032168 E1032196:E1032204 E1032232:E1032240 E1032268:E1032276 E1032304:E1032312 E1032340:E1032348 E1032376:E1032384 E1032412:E1032420 E1032448:E1032456 E1032484:E1032492 E1032520:E1032528 E1032556:E1032564 E1032592:E1032600 E1032628:E1032636 E1032664:E1032672 E1032700:E1032708 E1032736:E1032744 E1032772:E1032780 E1032808:E1032816 E1032844:E1032852 E1032880:E1032888 E1032916:E1032924 E1032952:E1032960 E1032988:E1032996 E1033024:E1033032 E1033060:E1033068 E1033096:E1033104 E1033132:E1033140 E1033168:E1033176 E1033204:E1033212 E1033240:E1033248 E1033276:E1033284 E1033312:E1033320 E1033348:E1033356 E1033384:E1033392 E1033420:E1033428 E1033456:E1033464 E1033492:E1033500 E1033528:E1033536 E1033564:E1033572 E1033600:E1033608 E1033636:E1033644 E1033672:E1033680 E1033708:E1033716 E1033744:E1033752 E1033780:E1033788 E1033816:E1033824 E1033852:E1033860 E1033888:E1033896 E1033924:E1033932 E1033960:E1033968 E1033996:E1034004 E1034032:E1034040 E1034068:E1034076 E1034104:E1034112 E1034140:E1034148 E1034176:E1034184 E1034212:E1034220 E1034248:E1034256 E1034284:E1034292 E1034320:E1034328 E1034356:E1034364 E1034392:E1034400 E1034428:E1034436 E1034464:E1034472 E1034500:E1034508 E1034536:E1034544 E1034572:E1034580 E1034608:E1034616 E1034644:E1034652 E1034680:E1034688 E1034716:E1034724 E1034752:E1034760 E1034788:E1034796 E1034824:E1034832 E1034860:E1034868 E1034896:E1034904 E1034932:E1034940 E1034968:E1034976 E1035004:E1035012 E1035040:E1035048 E1035076:E1035084 E1035112:E1035120 E1035148:E1035156 E1035184:E1035192 E1035220:E1035228 E1035256:E1035264 E1035292:E1035300 E1035328:E1035336 E1035364:E1035372 E1035400:E1035408 E1035436:E1035444 E1035472:E1035480 E1035508:E1035516 E1035544:E1035552 E1035580:E1035588 E1035616:E1035624 E1035652:E1035660 E1035688:E1035696 E1035724:E1035732 E1035760:E1035768 E1035796:E1035804 E1035832:E1035840 E1035868:E1035876 E1035904:E1035912 E1035940:E1035948 E1035976:E1035984 E1036012:E1036020 E1036048:E1036056 E1036084:E1036092 E1036120:E1036128 E1036156:E1036164 E1036192:E1036200 E1036228:E1036236 E1036264:E1036272 E1036300:E1036308 E1036336:E1036344 E1036372:E1036380 E1036408:E1036416 E1036444:E1036452 E1036480:E1036488 E1036516:E1036524 E1036552:E1036560 E1036588:E1036596 E1036624:E1036632 E1036660:E1036668 E1036696:E1036704 E1036732:E1036740 E1036768:E1036776 E1036804:E1036812 E1036840:E1036848 E1036876:E1036884 E1036912:E1036920 E1036948:E1036956 E1036984:E1036992 E1037020:E1037028 E1037056:E1037064 E1037092:E1037100 E1037128:E1037136 E1037164:E1037172 E1037200:E1037208 E1037236:E1037244 E1037272:E1037280 E1037308:E1037316 E1037344:E1037352 E1037380:E1037388 E1037416:E1037424 E1037452:E1037460 E1037488:E1037496 E1037524:E1037532 E1037560:E1037568 E1037596:E1037604 E1037632:E1037640 E1037668:E1037676 E1037704:E1037712 E1037740:E1037748 E1037776:E1037784 E1037812:E1037820 E1037848:E1037856 E1037884:E1037892 E1037920:E1037928 E1037956:E1037964 E1037992:E1038000 E1038028:E1038036 E1038064:E1038072 E1038100:E1038108 E1038136:E1038144 E1038172:E1038180 E1038208:E1038216 E1038244:E1038252 E1038280:E1038288 E1038316:E1038324 E1038352:E1038360 E1038388:E1038396 E1038424:E1038432 E1038460:E1038468 E1038496:E1038504 E1038532:E1038540 E1038568:E1038576 E1038604:E1038612 E1038640:E1038648 E1038676:E1038684 E1038712:E1038720 E1038748:E1038756 E1038784:E1038792 E1038820:E1038828 E1038856:E1038864 E1038892:E1038900 E1038928:E1038936 E1038964:E1038972 E1039000:E1039008 E1039036:E1039044 E1039072:E1039080 E1039108:E1039116 E1039144:E1039152 E1039180:E1039188 E1039216:E1039224 E1039252:E1039260 E1039288:E1039296 E1039324:E1039332 E1039360:E1039368 E1039396:E1039404 E1039432:E1039440 E1039468:E1039476 E1039504:E1039512 E1039540:E1039548 E1039576:E1039584 E1039612:E1039620 E1039648:E1039656 E1039684:E1039692 E1039720:E1039728 E1039756:E1039764 E1039792:E1039800 E1039828:E1039836 E1039864:E1039872 E1039900:E1039908 E1039936:E1039944 E1039972:E1039980 E1040008:E1040016 E1040044:E1040052 E1040080:E1040088 E1040116:E1040124 E1040152:E1040160 E1040188:E1040196 E1040224:E1040232 E1040260:E1040268 E1040296:E1040304 E1040332:E1040340 E1040368:E1040376 E1040404:E1040412 E1040440:E1040448 E1040476:E1040484 E1040512:E1040520 E1040548:E1040556 E1040584:E1040592 E1040620:E1040628 E1040656:E1040664 E1040692:E1040700 E1040728:E1040736 E1040764:E1040772 E1040800:E1040808 E1040836:E1040844 E1040872:E1040880 E1040908:E1040916 E1040944:E1040952 E1040980:E1040988 E1041016:E1041024 E1041052:E1041060 E1041088:E1041096 E1041124:E1041132 E1041160:E1041168 E1041196:E1041204 E1041232:E1041240 E1041268:E1041276 E1041304:E1041312 E1041340:E1041348 E1041376:E1041384 E1041412:E1041420 E1041448:E1041456 E1041484:E1041492 E1041520:E1041528 E1041556:E1041564 E1041592:E1041600 E1041628:E1041636 E1041664:E1041672 E1041700:E1041708 E1041736:E1041744 E1041772:E1041780 E1041808:E1041816 E1041844:E1041852 E1041880:E1041888 E1041916:E1041924 E1041952:E1041960 E1041988:E1041996 E1042024:E1042032 E1042060:E1042068 E1042096:E1042104 E1042132:E1042140 E1042168:E1042176 E1042204:E1042212 E1042240:E1042248 E1042276:E1042284 E1042312:E1042320 E1042348:E1042356 E1042384:E1042392 E1042420:E1042428 E1042456:E1042464 E1042492:E1042500 E1042528:E1042536 E1042564:E1042572 E1042600:E1042608 E1042636:E1042644 E1042672:E1042680 E1042708:E1042716 E1042744:E1042752 E1042780:E1042788 E1042816:E1042824 E1042852:E1042860 E1042888:E1042896 E1042924:E1042932 E1042960:E1042968 E1042996:E1043004 E1043032:E1043040 E1043068:E1043076 E1043104:E1043112 E1043140:E1043148 E1043176:E1043184 E1043212:E1043220 E1043248:E1043256 E1043284:E1043292 E1043320:E1043328 E1043356:E1043364 E1043392:E1043400 E1043428:E1043436 E1043464:E1043472 E1043500:E1043508 E1043536:E1043544 E1043572:E1043580 E1043608:E1043616 E1043644:E1043652 E1043680:E1043688 E1043716:E1043724 E1043752:E1043760 E1043788:E1043796 E1043824:E1043832 E1043860:E1043868 E1043896:E1043904 E1043932:E1043940 E1043968:E1043976 E1044004:E1044012 E1044040:E1044048 E1044076:E1044084 E1044112:E1044120 E1044148:E1044156 E1044184:E1044192 E1044220:E1044228 E1044256:E1044264 E1044292:E1044300 E1044328:E1044336 E1044364:E1044372 E1044400:E1044408 E1044436:E1044444 E1044472:E1044480 E1044508:E1044516 E1044544:E1044552 E1044580:E1044588 E1044616:E1044624 E1044652:E1044660 E1044688:E1044696 E1044724:E1044732 E1044760:E1044768 E1044796:E1044804 E1044832:E1044840 E1044868:E1044876 E1044904:E1044912 E1044940:E1044948 E1044976:E1044984 E1045012:E1045020 E1045048:E1045056 E1045084:E1045092 E1045120:E1045128 E1045156:E1045164 E1045192:E1045200 E1045228:E1045236 E1045264:E1045272 E1045300:E1045308 E1045336:E1045344 E1045372:E1045380 E1045408:E1045416 E1045444:E1045452 E1045480:E1045488 E1045516:E1045524 E1045552:E1045560 E1045588:E1045596 E1045624:E1045632 E1045660:E1045668 E1045696:E1045704 E1045732:E1045740 E1045768:E1045776 E1045804:E1045812 E1045840:E1045848 E1045876:E1045884 E1045912:E1045920 E1045948:E1045956 E1045984:E1045992 E1046020:E1046028 E1046056:E1046064 E1046092:E1046100 E1046128:E1046136 E1046164:E1046172 E1046200:E1046208 E1046236:E1046244 E1046272:E1046280 E1046308:E1046316 E1046344:E1046352 E1046380:E1046388 E1046416:E1046424 E1046452:E1046460 E1046488:E1046496 E1046524:E1046532 E1046560:E1046568 E1046596:E1046604 E1046632:E1046640 E1046668:E1046676 E1046704:E1046712 E1046740:E1046748 E1046776:E1046784 E1046812:E1046820 E1046848:E1046856 E1046884:E1046892 E1046920:E1046928 E1046956:E1046964 E1046992:E1047000 E1047028:E1047036 E1047064:E1047072 E1047100:E1047108 E1047136:E1047144 E1047172:E1047180 E1047208:E1047216 E1047244:E1047252 E1047280:E1047288 E1047316:E1047324 E1047352:E1047360 E1047388:E1047396 E1047424:E1047432 E1047460:E1047468 E1047496:E1047504 E1047532:E1047540 E1047568:E1047576 E1047604:E1047612 E1047640:E1047648 E1047676:E1047684 E1047712:E1047720 E1047748:E1047756 E1047784:E1047792 E1047820:E1047828 E1047856:E1047864 E1047892:E1047900 E1047928:E1047936 E1047964:E1047972 E1048000:E1048008 E1048036:E1048044 E1048072:E1048080 E1048108:E1048116 E1048144:E1048152 E1048180:E1048188 E1048216:E1048224 E1048252:E1048260 E1048288:E1048296 E1048324:E1048332 E1048360:E1048368 E1048396:E1048404 E1048432:E1048440 E1048468:E1048476 E1048504:E1048512 E1048540:E1048548 E1048576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FB673DD-B714-4B85-95E0-4ED6E2372C19}">
          <x14:formula1>
            <xm:f>'Base de Dados'!$D$2:$D$1048576</xm:f>
          </x14:formula1>
          <xm:sqref>G4:G12 A4:A13 A16:A24 G16:G24 A28:A36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428FE-3A04-48B1-BBDF-90EA0C9B8C85}">
  <sheetPr codeName="Planilha12"/>
  <dimension ref="A1:K36"/>
  <sheetViews>
    <sheetView showGridLines="0" workbookViewId="0">
      <selection activeCell="L31" sqref="L31"/>
    </sheetView>
  </sheetViews>
  <sheetFormatPr defaultRowHeight="15" x14ac:dyDescent="0.25"/>
  <cols>
    <col min="1" max="1" width="17.5703125" bestFit="1" customWidth="1"/>
    <col min="2" max="2" width="11.7109375" bestFit="1" customWidth="1"/>
    <col min="3" max="3" width="10.28515625" bestFit="1" customWidth="1"/>
    <col min="4" max="4" width="5.85546875" bestFit="1" customWidth="1"/>
    <col min="5" max="5" width="9.85546875" style="1" bestFit="1" customWidth="1"/>
    <col min="6" max="6" width="2.7109375" customWidth="1"/>
    <col min="7" max="7" width="17.5703125" bestFit="1" customWidth="1"/>
    <col min="8" max="8" width="11.7109375" bestFit="1" customWidth="1"/>
    <col min="9" max="9" width="10.28515625" bestFit="1" customWidth="1"/>
    <col min="10" max="10" width="5.85546875" bestFit="1" customWidth="1"/>
    <col min="11" max="11" width="8.7109375" bestFit="1" customWidth="1"/>
  </cols>
  <sheetData>
    <row r="1" spans="1:11" ht="19.5" thickBot="1" x14ac:dyDescent="0.45">
      <c r="A1" s="21" t="s">
        <v>37</v>
      </c>
      <c r="B1" s="21"/>
      <c r="C1" s="21"/>
      <c r="D1" s="21"/>
      <c r="E1" s="21"/>
      <c r="F1" s="21"/>
      <c r="G1" s="21"/>
      <c r="H1" s="21"/>
      <c r="I1" s="21"/>
      <c r="J1" s="21"/>
      <c r="K1" s="21"/>
    </row>
    <row r="2" spans="1:11" x14ac:dyDescent="0.25">
      <c r="A2" s="18" t="s">
        <v>22</v>
      </c>
      <c r="B2" s="19"/>
      <c r="C2" s="19"/>
      <c r="D2" s="19"/>
      <c r="E2" s="20"/>
      <c r="G2" s="18" t="s">
        <v>23</v>
      </c>
      <c r="H2" s="19"/>
      <c r="I2" s="19"/>
      <c r="J2" s="19"/>
      <c r="K2" s="20"/>
    </row>
    <row r="3" spans="1:11" x14ac:dyDescent="0.25">
      <c r="A3" s="5" t="s">
        <v>0</v>
      </c>
      <c r="B3" s="4" t="s">
        <v>4</v>
      </c>
      <c r="C3" s="4" t="s">
        <v>1</v>
      </c>
      <c r="D3" s="4" t="s">
        <v>3</v>
      </c>
      <c r="E3" s="6" t="s">
        <v>9</v>
      </c>
      <c r="G3" s="5" t="s">
        <v>0</v>
      </c>
      <c r="H3" s="4" t="s">
        <v>4</v>
      </c>
      <c r="I3" s="4" t="s">
        <v>1</v>
      </c>
      <c r="J3" s="4" t="s">
        <v>3</v>
      </c>
      <c r="K3" s="6" t="s">
        <v>9</v>
      </c>
    </row>
    <row r="4" spans="1:11" x14ac:dyDescent="0.25">
      <c r="A4" s="7" t="s">
        <v>8</v>
      </c>
      <c r="B4" s="2" t="str">
        <f>VLOOKUP(A4,'Base de Dados'!$D$2:$E$1048576,2,)</f>
        <v>Pleno</v>
      </c>
      <c r="C4" s="2">
        <v>1</v>
      </c>
      <c r="D4" s="2">
        <f>VLOOKUP(B4,'Base de Dados'!$A$2:$B$7,2,FALSE)</f>
        <v>20</v>
      </c>
      <c r="E4" s="8">
        <f>C4/D4</f>
        <v>0.05</v>
      </c>
      <c r="G4" s="7" t="s">
        <v>8</v>
      </c>
      <c r="H4" s="2" t="str">
        <f>VLOOKUP(G4,'Base de Dados'!$D$2:$E$1048576,2,)</f>
        <v>Pleno</v>
      </c>
      <c r="I4" s="2">
        <v>9</v>
      </c>
      <c r="J4" s="2">
        <f>VLOOKUP(H4,'Base de Dados'!$A$2:$B$7,2,FALSE)</f>
        <v>20</v>
      </c>
      <c r="K4" s="8">
        <f>I4/J4</f>
        <v>0.45</v>
      </c>
    </row>
    <row r="5" spans="1:11" x14ac:dyDescent="0.25">
      <c r="A5" s="7" t="s">
        <v>13</v>
      </c>
      <c r="B5" s="2" t="str">
        <f>VLOOKUP(A5,'Base de Dados'!$D$2:$E$1048576,2,)</f>
        <v>Pleno</v>
      </c>
      <c r="C5" s="2">
        <v>2</v>
      </c>
      <c r="D5" s="2">
        <f>VLOOKUP(B5,'Base de Dados'!$A$2:$B$7,2,FALSE)</f>
        <v>20</v>
      </c>
      <c r="E5" s="8">
        <f t="shared" ref="E5:E12" si="0">C5/D5</f>
        <v>0.1</v>
      </c>
      <c r="G5" s="7" t="s">
        <v>13</v>
      </c>
      <c r="H5" s="2" t="str">
        <f>VLOOKUP(G5,'Base de Dados'!$D$2:$E$1048576,2,)</f>
        <v>Pleno</v>
      </c>
      <c r="I5" s="2">
        <v>8</v>
      </c>
      <c r="J5" s="2">
        <f>VLOOKUP(H5,'Base de Dados'!$A$2:$B$7,2,FALSE)</f>
        <v>20</v>
      </c>
      <c r="K5" s="8">
        <f t="shared" ref="K5:K12" si="1">I5/J5</f>
        <v>0.4</v>
      </c>
    </row>
    <row r="6" spans="1:11" x14ac:dyDescent="0.25">
      <c r="A6" s="7" t="s">
        <v>14</v>
      </c>
      <c r="B6" s="2" t="str">
        <f>VLOOKUP(A6,'Base de Dados'!$D$2:$E$1048576,2,)</f>
        <v>Pleno</v>
      </c>
      <c r="C6" s="2">
        <v>3</v>
      </c>
      <c r="D6" s="2">
        <f>VLOOKUP(B6,'Base de Dados'!$A$2:$B$7,2,FALSE)</f>
        <v>20</v>
      </c>
      <c r="E6" s="8">
        <f t="shared" si="0"/>
        <v>0.15</v>
      </c>
      <c r="G6" s="7" t="s">
        <v>14</v>
      </c>
      <c r="H6" s="2" t="str">
        <f>VLOOKUP(G6,'Base de Dados'!$D$2:$E$1048576,2,)</f>
        <v>Pleno</v>
      </c>
      <c r="I6" s="2">
        <v>7</v>
      </c>
      <c r="J6" s="2">
        <f>VLOOKUP(H6,'Base de Dados'!$A$2:$B$7,2,FALSE)</f>
        <v>20</v>
      </c>
      <c r="K6" s="8">
        <f t="shared" si="1"/>
        <v>0.35</v>
      </c>
    </row>
    <row r="7" spans="1:11" x14ac:dyDescent="0.25">
      <c r="A7" s="7" t="s">
        <v>15</v>
      </c>
      <c r="B7" s="2" t="str">
        <f>VLOOKUP(A7,'Base de Dados'!$D$2:$E$1048576,2,)</f>
        <v>Junior</v>
      </c>
      <c r="C7" s="2">
        <v>4</v>
      </c>
      <c r="D7" s="2">
        <f>VLOOKUP(B7,'Base de Dados'!$A$2:$B$7,2,FALSE)</f>
        <v>15</v>
      </c>
      <c r="E7" s="8">
        <f t="shared" si="0"/>
        <v>0.26666666666666666</v>
      </c>
      <c r="G7" s="7" t="s">
        <v>15</v>
      </c>
      <c r="H7" s="2" t="str">
        <f>VLOOKUP(G7,'Base de Dados'!$D$2:$E$1048576,2,)</f>
        <v>Junior</v>
      </c>
      <c r="I7" s="2">
        <v>6</v>
      </c>
      <c r="J7" s="2">
        <f>VLOOKUP(H7,'Base de Dados'!$A$2:$B$7,2,FALSE)</f>
        <v>15</v>
      </c>
      <c r="K7" s="8">
        <f t="shared" si="1"/>
        <v>0.4</v>
      </c>
    </row>
    <row r="8" spans="1:11" x14ac:dyDescent="0.25">
      <c r="A8" s="7" t="s">
        <v>16</v>
      </c>
      <c r="B8" s="2" t="str">
        <f>VLOOKUP(A8,'Base de Dados'!$D$2:$E$1048576,2,)</f>
        <v>Junior</v>
      </c>
      <c r="C8" s="2">
        <v>5</v>
      </c>
      <c r="D8" s="2">
        <f>VLOOKUP(B8,'Base de Dados'!$A$2:$B$7,2,FALSE)</f>
        <v>15</v>
      </c>
      <c r="E8" s="8">
        <f t="shared" si="0"/>
        <v>0.33333333333333331</v>
      </c>
      <c r="G8" s="7" t="s">
        <v>16</v>
      </c>
      <c r="H8" s="2" t="str">
        <f>VLOOKUP(G8,'Base de Dados'!$D$2:$E$1048576,2,)</f>
        <v>Junior</v>
      </c>
      <c r="I8" s="2">
        <v>5</v>
      </c>
      <c r="J8" s="2">
        <f>VLOOKUP(H8,'Base de Dados'!$A$2:$B$7,2,FALSE)</f>
        <v>15</v>
      </c>
      <c r="K8" s="8">
        <f t="shared" si="1"/>
        <v>0.33333333333333331</v>
      </c>
    </row>
    <row r="9" spans="1:11" x14ac:dyDescent="0.25">
      <c r="A9" s="7" t="s">
        <v>17</v>
      </c>
      <c r="B9" s="2" t="str">
        <f>VLOOKUP(A9,'Base de Dados'!$D$2:$E$1048576,2,)</f>
        <v>Especialista</v>
      </c>
      <c r="C9" s="2">
        <v>6</v>
      </c>
      <c r="D9" s="2">
        <f>VLOOKUP(B9,'Base de Dados'!$A$2:$B$7,2,FALSE)</f>
        <v>30</v>
      </c>
      <c r="E9" s="8">
        <f t="shared" si="0"/>
        <v>0.2</v>
      </c>
      <c r="G9" s="7" t="s">
        <v>17</v>
      </c>
      <c r="H9" s="2" t="str">
        <f>VLOOKUP(G9,'Base de Dados'!$D$2:$E$1048576,2,)</f>
        <v>Especialista</v>
      </c>
      <c r="I9" s="2">
        <v>4</v>
      </c>
      <c r="J9" s="2">
        <f>VLOOKUP(H9,'Base de Dados'!$A$2:$B$7,2,FALSE)</f>
        <v>30</v>
      </c>
      <c r="K9" s="8">
        <f t="shared" si="1"/>
        <v>0.13333333333333333</v>
      </c>
    </row>
    <row r="10" spans="1:11" x14ac:dyDescent="0.25">
      <c r="A10" s="7" t="s">
        <v>18</v>
      </c>
      <c r="B10" s="2" t="str">
        <f>VLOOKUP(A10,'Base de Dados'!$D$2:$E$1048576,2,)</f>
        <v>Junior</v>
      </c>
      <c r="C10" s="2">
        <v>7</v>
      </c>
      <c r="D10" s="2">
        <f>VLOOKUP(B10,'Base de Dados'!$A$2:$B$7,2,FALSE)</f>
        <v>15</v>
      </c>
      <c r="E10" s="8">
        <f t="shared" si="0"/>
        <v>0.46666666666666667</v>
      </c>
      <c r="G10" s="7" t="s">
        <v>18</v>
      </c>
      <c r="H10" s="2" t="str">
        <f>VLOOKUP(G10,'Base de Dados'!$D$2:$E$1048576,2,)</f>
        <v>Junior</v>
      </c>
      <c r="I10" s="2">
        <v>3</v>
      </c>
      <c r="J10" s="2">
        <f>VLOOKUP(H10,'Base de Dados'!$A$2:$B$7,2,FALSE)</f>
        <v>15</v>
      </c>
      <c r="K10" s="8">
        <f t="shared" si="1"/>
        <v>0.2</v>
      </c>
    </row>
    <row r="11" spans="1:11" x14ac:dyDescent="0.25">
      <c r="A11" s="7" t="s">
        <v>19</v>
      </c>
      <c r="B11" s="2" t="str">
        <f>VLOOKUP(A11,'Base de Dados'!$D$2:$E$1048576,2,)</f>
        <v>Junior</v>
      </c>
      <c r="C11" s="2">
        <v>8</v>
      </c>
      <c r="D11" s="2">
        <f>VLOOKUP(B11,'Base de Dados'!$A$2:$B$7,2,FALSE)</f>
        <v>15</v>
      </c>
      <c r="E11" s="8">
        <f t="shared" si="0"/>
        <v>0.53333333333333333</v>
      </c>
      <c r="G11" s="7" t="s">
        <v>19</v>
      </c>
      <c r="H11" s="2" t="str">
        <f>VLOOKUP(G11,'Base de Dados'!$D$2:$E$1048576,2,)</f>
        <v>Junior</v>
      </c>
      <c r="I11" s="2">
        <v>2</v>
      </c>
      <c r="J11" s="2">
        <f>VLOOKUP(H11,'Base de Dados'!$A$2:$B$7,2,FALSE)</f>
        <v>15</v>
      </c>
      <c r="K11" s="8">
        <f t="shared" si="1"/>
        <v>0.13333333333333333</v>
      </c>
    </row>
    <row r="12" spans="1:11" ht="15.75" thickBot="1" x14ac:dyDescent="0.3">
      <c r="A12" s="9" t="s">
        <v>20</v>
      </c>
      <c r="B12" s="10" t="str">
        <f>VLOOKUP(A12,'Base de Dados'!$D$2:$E$1048576,2,)</f>
        <v>Junior</v>
      </c>
      <c r="C12" s="10">
        <v>9</v>
      </c>
      <c r="D12" s="10">
        <f>VLOOKUP(B12,'Base de Dados'!$A$2:$B$7,2,FALSE)</f>
        <v>15</v>
      </c>
      <c r="E12" s="11">
        <f t="shared" si="0"/>
        <v>0.6</v>
      </c>
      <c r="G12" s="9" t="s">
        <v>20</v>
      </c>
      <c r="H12" s="10" t="str">
        <f>VLOOKUP(G12,'Base de Dados'!$D$2:$E$1048576,2,)</f>
        <v>Junior</v>
      </c>
      <c r="I12" s="10">
        <v>1</v>
      </c>
      <c r="J12" s="10">
        <f>VLOOKUP(H12,'Base de Dados'!$A$2:$B$7,2,FALSE)</f>
        <v>15</v>
      </c>
      <c r="K12" s="11">
        <f t="shared" si="1"/>
        <v>6.6666666666666666E-2</v>
      </c>
    </row>
    <row r="13" spans="1:11" ht="15.75" thickBot="1" x14ac:dyDescent="0.3"/>
    <row r="14" spans="1:11" x14ac:dyDescent="0.25">
      <c r="A14" s="18" t="s">
        <v>24</v>
      </c>
      <c r="B14" s="19"/>
      <c r="C14" s="19"/>
      <c r="D14" s="19"/>
      <c r="E14" s="20"/>
      <c r="G14" s="18" t="s">
        <v>25</v>
      </c>
      <c r="H14" s="19"/>
      <c r="I14" s="19"/>
      <c r="J14" s="19"/>
      <c r="K14" s="20"/>
    </row>
    <row r="15" spans="1:11" x14ac:dyDescent="0.25">
      <c r="A15" s="5" t="s">
        <v>0</v>
      </c>
      <c r="B15" s="4" t="s">
        <v>4</v>
      </c>
      <c r="C15" s="4" t="s">
        <v>1</v>
      </c>
      <c r="D15" s="4" t="s">
        <v>3</v>
      </c>
      <c r="E15" s="6" t="s">
        <v>9</v>
      </c>
      <c r="G15" s="5" t="s">
        <v>0</v>
      </c>
      <c r="H15" s="4" t="s">
        <v>4</v>
      </c>
      <c r="I15" s="4" t="s">
        <v>1</v>
      </c>
      <c r="J15" s="4" t="s">
        <v>3</v>
      </c>
      <c r="K15" s="6" t="s">
        <v>9</v>
      </c>
    </row>
    <row r="16" spans="1:11" x14ac:dyDescent="0.25">
      <c r="A16" s="7" t="s">
        <v>8</v>
      </c>
      <c r="B16" s="2" t="str">
        <f>VLOOKUP(A16,'Base de Dados'!$D$2:$E$1048576,2,)</f>
        <v>Pleno</v>
      </c>
      <c r="C16" s="2">
        <v>2</v>
      </c>
      <c r="D16" s="2">
        <f>VLOOKUP(B16,'Base de Dados'!$A$2:$B$7,2,FALSE)</f>
        <v>20</v>
      </c>
      <c r="E16" s="8">
        <f>C16/D16</f>
        <v>0.1</v>
      </c>
      <c r="G16" s="7" t="s">
        <v>8</v>
      </c>
      <c r="H16" s="2" t="str">
        <f>VLOOKUP(G16,'Base de Dados'!$D$2:$E$1048576,2,)</f>
        <v>Pleno</v>
      </c>
      <c r="I16" s="2">
        <v>1</v>
      </c>
      <c r="J16" s="2">
        <f>VLOOKUP(H16,'Base de Dados'!$A$2:$B$7,2,FALSE)</f>
        <v>20</v>
      </c>
      <c r="K16" s="8">
        <f>I16/J16</f>
        <v>0.05</v>
      </c>
    </row>
    <row r="17" spans="1:11" x14ac:dyDescent="0.25">
      <c r="A17" s="7" t="s">
        <v>13</v>
      </c>
      <c r="B17" s="2" t="str">
        <f>VLOOKUP(A17,'Base de Dados'!$D$2:$E$1048576,2,)</f>
        <v>Pleno</v>
      </c>
      <c r="C17" s="2">
        <v>4</v>
      </c>
      <c r="D17" s="2">
        <f>VLOOKUP(B17,'Base de Dados'!$A$2:$B$7,2,FALSE)</f>
        <v>20</v>
      </c>
      <c r="E17" s="8">
        <f t="shared" ref="E17:E24" si="2">C17/D17</f>
        <v>0.2</v>
      </c>
      <c r="G17" s="7" t="s">
        <v>13</v>
      </c>
      <c r="H17" s="2" t="str">
        <f>VLOOKUP(G17,'Base de Dados'!$D$2:$E$1048576,2,)</f>
        <v>Pleno</v>
      </c>
      <c r="I17" s="2">
        <v>2</v>
      </c>
      <c r="J17" s="2">
        <f>VLOOKUP(H17,'Base de Dados'!$A$2:$B$7,2,FALSE)</f>
        <v>20</v>
      </c>
      <c r="K17" s="8">
        <f t="shared" ref="K17:K24" si="3">I17/J17</f>
        <v>0.1</v>
      </c>
    </row>
    <row r="18" spans="1:11" x14ac:dyDescent="0.25">
      <c r="A18" s="7" t="s">
        <v>14</v>
      </c>
      <c r="B18" s="2" t="str">
        <f>VLOOKUP(A18,'Base de Dados'!$D$2:$E$1048576,2,)</f>
        <v>Pleno</v>
      </c>
      <c r="C18" s="2">
        <v>6</v>
      </c>
      <c r="D18" s="2">
        <f>VLOOKUP(B18,'Base de Dados'!$A$2:$B$7,2,FALSE)</f>
        <v>20</v>
      </c>
      <c r="E18" s="8">
        <f t="shared" si="2"/>
        <v>0.3</v>
      </c>
      <c r="G18" s="7" t="s">
        <v>14</v>
      </c>
      <c r="H18" s="2" t="str">
        <f>VLOOKUP(G18,'Base de Dados'!$D$2:$E$1048576,2,)</f>
        <v>Pleno</v>
      </c>
      <c r="I18" s="2">
        <v>3</v>
      </c>
      <c r="J18" s="2">
        <f>VLOOKUP(H18,'Base de Dados'!$A$2:$B$7,2,FALSE)</f>
        <v>20</v>
      </c>
      <c r="K18" s="8">
        <f t="shared" si="3"/>
        <v>0.15</v>
      </c>
    </row>
    <row r="19" spans="1:11" x14ac:dyDescent="0.25">
      <c r="A19" s="7" t="s">
        <v>15</v>
      </c>
      <c r="B19" s="2" t="str">
        <f>VLOOKUP(A19,'Base de Dados'!$D$2:$E$1048576,2,)</f>
        <v>Junior</v>
      </c>
      <c r="C19" s="2">
        <v>8</v>
      </c>
      <c r="D19" s="2">
        <f>VLOOKUP(B19,'Base de Dados'!$A$2:$B$7,2,FALSE)</f>
        <v>15</v>
      </c>
      <c r="E19" s="8">
        <f t="shared" si="2"/>
        <v>0.53333333333333333</v>
      </c>
      <c r="G19" s="7" t="s">
        <v>15</v>
      </c>
      <c r="H19" s="2" t="str">
        <f>VLOOKUP(G19,'Base de Dados'!$D$2:$E$1048576,2,)</f>
        <v>Junior</v>
      </c>
      <c r="I19" s="2">
        <v>5</v>
      </c>
      <c r="J19" s="2">
        <f>VLOOKUP(H19,'Base de Dados'!$A$2:$B$7,2,FALSE)</f>
        <v>15</v>
      </c>
      <c r="K19" s="8">
        <f t="shared" si="3"/>
        <v>0.33333333333333331</v>
      </c>
    </row>
    <row r="20" spans="1:11" x14ac:dyDescent="0.25">
      <c r="A20" s="7" t="s">
        <v>16</v>
      </c>
      <c r="B20" s="2" t="str">
        <f>VLOOKUP(A20,'Base de Dados'!$D$2:$E$1048576,2,)</f>
        <v>Junior</v>
      </c>
      <c r="C20" s="2">
        <v>10</v>
      </c>
      <c r="D20" s="2">
        <f>VLOOKUP(B20,'Base de Dados'!$A$2:$B$7,2,FALSE)</f>
        <v>15</v>
      </c>
      <c r="E20" s="8">
        <f t="shared" si="2"/>
        <v>0.66666666666666663</v>
      </c>
      <c r="G20" s="7" t="s">
        <v>16</v>
      </c>
      <c r="H20" s="2" t="str">
        <f>VLOOKUP(G20,'Base de Dados'!$D$2:$E$1048576,2,)</f>
        <v>Junior</v>
      </c>
      <c r="I20" s="2">
        <v>8</v>
      </c>
      <c r="J20" s="2">
        <f>VLOOKUP(H20,'Base de Dados'!$A$2:$B$7,2,FALSE)</f>
        <v>15</v>
      </c>
      <c r="K20" s="8">
        <f t="shared" si="3"/>
        <v>0.53333333333333333</v>
      </c>
    </row>
    <row r="21" spans="1:11" x14ac:dyDescent="0.25">
      <c r="A21" s="7" t="s">
        <v>17</v>
      </c>
      <c r="B21" s="2" t="str">
        <f>VLOOKUP(A21,'Base de Dados'!$D$2:$E$1048576,2,)</f>
        <v>Especialista</v>
      </c>
      <c r="C21" s="2">
        <v>12</v>
      </c>
      <c r="D21" s="2">
        <f>VLOOKUP(B21,'Base de Dados'!$A$2:$B$7,2,FALSE)</f>
        <v>30</v>
      </c>
      <c r="E21" s="8">
        <f t="shared" si="2"/>
        <v>0.4</v>
      </c>
      <c r="G21" s="7" t="s">
        <v>17</v>
      </c>
      <c r="H21" s="2" t="str">
        <f>VLOOKUP(G21,'Base de Dados'!$D$2:$E$1048576,2,)</f>
        <v>Especialista</v>
      </c>
      <c r="I21" s="2">
        <v>13</v>
      </c>
      <c r="J21" s="2">
        <f>VLOOKUP(H21,'Base de Dados'!$A$2:$B$7,2,FALSE)</f>
        <v>30</v>
      </c>
      <c r="K21" s="8">
        <f t="shared" si="3"/>
        <v>0.43333333333333335</v>
      </c>
    </row>
    <row r="22" spans="1:11" x14ac:dyDescent="0.25">
      <c r="A22" s="7" t="s">
        <v>18</v>
      </c>
      <c r="B22" s="2" t="str">
        <f>VLOOKUP(A22,'Base de Dados'!$D$2:$E$1048576,2,)</f>
        <v>Junior</v>
      </c>
      <c r="C22" s="2">
        <v>14</v>
      </c>
      <c r="D22" s="2">
        <f>VLOOKUP(B22,'Base de Dados'!$A$2:$B$7,2,FALSE)</f>
        <v>15</v>
      </c>
      <c r="E22" s="8">
        <f t="shared" si="2"/>
        <v>0.93333333333333335</v>
      </c>
      <c r="G22" s="7" t="s">
        <v>18</v>
      </c>
      <c r="H22" s="2" t="str">
        <f>VLOOKUP(G22,'Base de Dados'!$D$2:$E$1048576,2,)</f>
        <v>Junior</v>
      </c>
      <c r="I22" s="2">
        <v>21</v>
      </c>
      <c r="J22" s="2">
        <f>VLOOKUP(H22,'Base de Dados'!$A$2:$B$7,2,FALSE)</f>
        <v>15</v>
      </c>
      <c r="K22" s="8">
        <f t="shared" si="3"/>
        <v>1.4</v>
      </c>
    </row>
    <row r="23" spans="1:11" x14ac:dyDescent="0.25">
      <c r="A23" s="7" t="s">
        <v>19</v>
      </c>
      <c r="B23" s="2" t="str">
        <f>VLOOKUP(A23,'Base de Dados'!$D$2:$E$1048576,2,)</f>
        <v>Junior</v>
      </c>
      <c r="C23" s="2">
        <v>16</v>
      </c>
      <c r="D23" s="2">
        <f>VLOOKUP(B23,'Base de Dados'!$A$2:$B$7,2,FALSE)</f>
        <v>15</v>
      </c>
      <c r="E23" s="8">
        <f t="shared" si="2"/>
        <v>1.0666666666666667</v>
      </c>
      <c r="G23" s="7" t="s">
        <v>19</v>
      </c>
      <c r="H23" s="2" t="str">
        <f>VLOOKUP(G23,'Base de Dados'!$D$2:$E$1048576,2,)</f>
        <v>Junior</v>
      </c>
      <c r="I23" s="2">
        <v>44</v>
      </c>
      <c r="J23" s="2">
        <f>VLOOKUP(H23,'Base de Dados'!$A$2:$B$7,2,FALSE)</f>
        <v>15</v>
      </c>
      <c r="K23" s="8">
        <f t="shared" si="3"/>
        <v>2.9333333333333331</v>
      </c>
    </row>
    <row r="24" spans="1:11" ht="15.75" thickBot="1" x14ac:dyDescent="0.3">
      <c r="A24" s="9" t="s">
        <v>20</v>
      </c>
      <c r="B24" s="10" t="str">
        <f>VLOOKUP(A24,'Base de Dados'!$D$2:$E$1048576,2,)</f>
        <v>Junior</v>
      </c>
      <c r="C24" s="10">
        <v>18</v>
      </c>
      <c r="D24" s="10">
        <f>VLOOKUP(B24,'Base de Dados'!$A$2:$B$7,2,FALSE)</f>
        <v>15</v>
      </c>
      <c r="E24" s="11">
        <f t="shared" si="2"/>
        <v>1.2</v>
      </c>
      <c r="G24" s="9" t="s">
        <v>20</v>
      </c>
      <c r="H24" s="10" t="str">
        <f>VLOOKUP(G24,'Base de Dados'!$D$2:$E$1048576,2,)</f>
        <v>Junior</v>
      </c>
      <c r="I24" s="10">
        <v>65</v>
      </c>
      <c r="J24" s="10">
        <f>VLOOKUP(H24,'Base de Dados'!$A$2:$B$7,2,FALSE)</f>
        <v>15</v>
      </c>
      <c r="K24" s="11">
        <f t="shared" si="3"/>
        <v>4.333333333333333</v>
      </c>
    </row>
    <row r="25" spans="1:11" ht="15.75" thickBot="1" x14ac:dyDescent="0.3"/>
    <row r="26" spans="1:11" x14ac:dyDescent="0.25">
      <c r="A26" s="18" t="s">
        <v>26</v>
      </c>
      <c r="B26" s="19"/>
      <c r="C26" s="19"/>
      <c r="D26" s="19"/>
      <c r="E26" s="20"/>
    </row>
    <row r="27" spans="1:11" x14ac:dyDescent="0.25">
      <c r="A27" s="5" t="s">
        <v>0</v>
      </c>
      <c r="B27" s="4" t="s">
        <v>4</v>
      </c>
      <c r="C27" s="4" t="s">
        <v>1</v>
      </c>
      <c r="D27" s="4" t="s">
        <v>3</v>
      </c>
      <c r="E27" s="6" t="s">
        <v>9</v>
      </c>
    </row>
    <row r="28" spans="1:11" x14ac:dyDescent="0.25">
      <c r="A28" s="7" t="s">
        <v>8</v>
      </c>
      <c r="B28" s="2" t="str">
        <f>VLOOKUP(A28,'Base de Dados'!$D$2:$E$1048576,2,)</f>
        <v>Pleno</v>
      </c>
      <c r="C28" s="2">
        <v>2</v>
      </c>
      <c r="D28" s="2">
        <f>VLOOKUP(B28,'Base de Dados'!$A$2:$B$7,2,FALSE)</f>
        <v>20</v>
      </c>
      <c r="E28" s="8">
        <f>C28/D28</f>
        <v>0.1</v>
      </c>
    </row>
    <row r="29" spans="1:11" x14ac:dyDescent="0.25">
      <c r="A29" s="7" t="s">
        <v>13</v>
      </c>
      <c r="B29" s="2" t="str">
        <f>VLOOKUP(A29,'Base de Dados'!$D$2:$E$1048576,2,)</f>
        <v>Pleno</v>
      </c>
      <c r="C29" s="2">
        <v>4</v>
      </c>
      <c r="D29" s="2">
        <f>VLOOKUP(B29,'Base de Dados'!$A$2:$B$7,2,FALSE)</f>
        <v>20</v>
      </c>
      <c r="E29" s="8">
        <f t="shared" ref="E29:E36" si="4">C29/D29</f>
        <v>0.2</v>
      </c>
    </row>
    <row r="30" spans="1:11" x14ac:dyDescent="0.25">
      <c r="A30" s="7" t="s">
        <v>14</v>
      </c>
      <c r="B30" s="2" t="str">
        <f>VLOOKUP(A30,'Base de Dados'!$D$2:$E$1048576,2,)</f>
        <v>Pleno</v>
      </c>
      <c r="C30" s="2">
        <v>8</v>
      </c>
      <c r="D30" s="2">
        <f>VLOOKUP(B30,'Base de Dados'!$A$2:$B$7,2,FALSE)</f>
        <v>20</v>
      </c>
      <c r="E30" s="8">
        <f t="shared" si="4"/>
        <v>0.4</v>
      </c>
    </row>
    <row r="31" spans="1:11" x14ac:dyDescent="0.25">
      <c r="A31" s="7" t="s">
        <v>15</v>
      </c>
      <c r="B31" s="2" t="str">
        <f>VLOOKUP(A31,'Base de Dados'!$D$2:$E$1048576,2,)</f>
        <v>Junior</v>
      </c>
      <c r="C31" s="2">
        <v>16</v>
      </c>
      <c r="D31" s="2">
        <f>VLOOKUP(B31,'Base de Dados'!$A$2:$B$7,2,FALSE)</f>
        <v>15</v>
      </c>
      <c r="E31" s="8">
        <f t="shared" si="4"/>
        <v>1.0666666666666667</v>
      </c>
    </row>
    <row r="32" spans="1:11" x14ac:dyDescent="0.25">
      <c r="A32" s="7" t="s">
        <v>16</v>
      </c>
      <c r="B32" s="2" t="str">
        <f>VLOOKUP(A32,'Base de Dados'!$D$2:$E$1048576,2,)</f>
        <v>Junior</v>
      </c>
      <c r="C32" s="2">
        <v>32</v>
      </c>
      <c r="D32" s="2">
        <f>VLOOKUP(B32,'Base de Dados'!$A$2:$B$7,2,FALSE)</f>
        <v>15</v>
      </c>
      <c r="E32" s="8">
        <f t="shared" si="4"/>
        <v>2.1333333333333333</v>
      </c>
    </row>
    <row r="33" spans="1:5" x14ac:dyDescent="0.25">
      <c r="A33" s="7" t="s">
        <v>17</v>
      </c>
      <c r="B33" s="2" t="str">
        <f>VLOOKUP(A33,'Base de Dados'!$D$2:$E$1048576,2,)</f>
        <v>Especialista</v>
      </c>
      <c r="C33" s="2">
        <v>64</v>
      </c>
      <c r="D33" s="2">
        <f>VLOOKUP(B33,'Base de Dados'!$A$2:$B$7,2,FALSE)</f>
        <v>30</v>
      </c>
      <c r="E33" s="8">
        <f t="shared" si="4"/>
        <v>2.1333333333333333</v>
      </c>
    </row>
    <row r="34" spans="1:5" x14ac:dyDescent="0.25">
      <c r="A34" s="7" t="s">
        <v>18</v>
      </c>
      <c r="B34" s="2" t="str">
        <f>VLOOKUP(A34,'Base de Dados'!$D$2:$E$1048576,2,)</f>
        <v>Junior</v>
      </c>
      <c r="C34" s="2">
        <v>128</v>
      </c>
      <c r="D34" s="2">
        <f>VLOOKUP(B34,'Base de Dados'!$A$2:$B$7,2,FALSE)</f>
        <v>15</v>
      </c>
      <c r="E34" s="8">
        <f t="shared" si="4"/>
        <v>8.5333333333333332</v>
      </c>
    </row>
    <row r="35" spans="1:5" x14ac:dyDescent="0.25">
      <c r="A35" s="7" t="s">
        <v>19</v>
      </c>
      <c r="B35" s="2" t="str">
        <f>VLOOKUP(A35,'Base de Dados'!$D$2:$E$1048576,2,)</f>
        <v>Junior</v>
      </c>
      <c r="C35" s="2">
        <v>256</v>
      </c>
      <c r="D35" s="2">
        <f>VLOOKUP(B35,'Base de Dados'!$A$2:$B$7,2,FALSE)</f>
        <v>15</v>
      </c>
      <c r="E35" s="8">
        <f t="shared" si="4"/>
        <v>17.066666666666666</v>
      </c>
    </row>
    <row r="36" spans="1:5" ht="15.75" thickBot="1" x14ac:dyDescent="0.3">
      <c r="A36" s="9" t="s">
        <v>20</v>
      </c>
      <c r="B36" s="10" t="str">
        <f>VLOOKUP(A36,'Base de Dados'!$D$2:$E$1048576,2,)</f>
        <v>Junior</v>
      </c>
      <c r="C36" s="10">
        <v>512</v>
      </c>
      <c r="D36" s="10">
        <f>VLOOKUP(B36,'Base de Dados'!$A$2:$B$7,2,FALSE)</f>
        <v>15</v>
      </c>
      <c r="E36" s="11">
        <f t="shared" si="4"/>
        <v>34.133333333333333</v>
      </c>
    </row>
  </sheetData>
  <mergeCells count="6">
    <mergeCell ref="A26:E26"/>
    <mergeCell ref="A1:K1"/>
    <mergeCell ref="A2:E2"/>
    <mergeCell ref="G2:K2"/>
    <mergeCell ref="A14:E14"/>
    <mergeCell ref="G14:K14"/>
  </mergeCells>
  <conditionalFormatting sqref="E16:E24">
    <cfRule type="dataBar" priority="5">
      <dataBar>
        <cfvo type="percent" val="0"/>
        <cfvo type="percent" val="100"/>
        <color theme="8" tint="-0.249977111117893"/>
      </dataBar>
      <extLst>
        <ext xmlns:x14="http://schemas.microsoft.com/office/spreadsheetml/2009/9/main" uri="{B025F937-C7B1-47D3-B67F-A62EFF666E3E}">
          <x14:id>{952659A7-F347-4F40-9625-7B52F23588DF}</x14:id>
        </ext>
      </extLst>
    </cfRule>
  </conditionalFormatting>
  <conditionalFormatting sqref="E4:E12">
    <cfRule type="dataBar" priority="4">
      <dataBar>
        <cfvo type="percent" val="0"/>
        <cfvo type="percent" val="100"/>
        <color theme="8" tint="-0.249977111117893"/>
      </dataBar>
      <extLst>
        <ext xmlns:x14="http://schemas.microsoft.com/office/spreadsheetml/2009/9/main" uri="{B025F937-C7B1-47D3-B67F-A62EFF666E3E}">
          <x14:id>{C2E4A808-0CA8-4B94-ABA5-D138499B3DE0}</x14:id>
        </ext>
      </extLst>
    </cfRule>
  </conditionalFormatting>
  <conditionalFormatting sqref="K4:K12">
    <cfRule type="dataBar" priority="3">
      <dataBar>
        <cfvo type="percent" val="0"/>
        <cfvo type="percent" val="100"/>
        <color theme="8" tint="-0.249977111117893"/>
      </dataBar>
      <extLst>
        <ext xmlns:x14="http://schemas.microsoft.com/office/spreadsheetml/2009/9/main" uri="{B025F937-C7B1-47D3-B67F-A62EFF666E3E}">
          <x14:id>{9B6ECA8A-9EF0-49F8-9895-539ABBC9A004}</x14:id>
        </ext>
      </extLst>
    </cfRule>
  </conditionalFormatting>
  <conditionalFormatting sqref="K16:K24">
    <cfRule type="dataBar" priority="2">
      <dataBar>
        <cfvo type="percent" val="0"/>
        <cfvo type="percent" val="100"/>
        <color theme="8" tint="-0.249977111117893"/>
      </dataBar>
      <extLst>
        <ext xmlns:x14="http://schemas.microsoft.com/office/spreadsheetml/2009/9/main" uri="{B025F937-C7B1-47D3-B67F-A62EFF666E3E}">
          <x14:id>{AF019DB3-8601-4151-986A-B5577DF6133D}</x14:id>
        </ext>
      </extLst>
    </cfRule>
  </conditionalFormatting>
  <conditionalFormatting sqref="E28:E36">
    <cfRule type="dataBar" priority="1">
      <dataBar>
        <cfvo type="percent" val="0"/>
        <cfvo type="percent" val="100"/>
        <color theme="8" tint="-0.249977111117893"/>
      </dataBar>
      <extLst>
        <ext xmlns:x14="http://schemas.microsoft.com/office/spreadsheetml/2009/9/main" uri="{B025F937-C7B1-47D3-B67F-A62EFF666E3E}">
          <x14:id>{619DB5CC-CFC0-45AA-8AE1-684672384479}</x14:id>
        </ext>
      </extLst>
    </cfRule>
  </conditionalFormatting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2659A7-F347-4F40-9625-7B52F23588DF}">
            <x14:dataBar minLength="0" maxLength="100" direction="leftToRight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E16:E24</xm:sqref>
        </x14:conditionalFormatting>
        <x14:conditionalFormatting xmlns:xm="http://schemas.microsoft.com/office/excel/2006/main">
          <x14:cfRule type="dataBar" id="{C2E4A808-0CA8-4B94-ABA5-D138499B3DE0}">
            <x14:dataBar minLength="0" maxLength="100" direction="leftToRight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E4:E12</xm:sqref>
        </x14:conditionalFormatting>
        <x14:conditionalFormatting xmlns:xm="http://schemas.microsoft.com/office/excel/2006/main">
          <x14:cfRule type="dataBar" id="{9B6ECA8A-9EF0-49F8-9895-539ABBC9A004}">
            <x14:dataBar minLength="0" maxLength="100" direction="leftToRight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K4:K12</xm:sqref>
        </x14:conditionalFormatting>
        <x14:conditionalFormatting xmlns:xm="http://schemas.microsoft.com/office/excel/2006/main">
          <x14:cfRule type="dataBar" id="{AF019DB3-8601-4151-986A-B5577DF6133D}">
            <x14:dataBar minLength="0" maxLength="100" direction="leftToRight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K16:K24</xm:sqref>
        </x14:conditionalFormatting>
        <x14:conditionalFormatting xmlns:xm="http://schemas.microsoft.com/office/excel/2006/main">
          <x14:cfRule type="dataBar" id="{619DB5CC-CFC0-45AA-8AE1-684672384479}">
            <x14:dataBar minLength="0" maxLength="100" direction="leftToRight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E28:E36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9AD6157-8D65-493F-B2F5-345C2631249A}">
          <x14:formula1>
            <xm:f>'Base de Dados'!$D$2:$D$1048576</xm:f>
          </x14:formula1>
          <xm:sqref>G4:G12 A4:A13 A16:A24 G16:G24 A28:A36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9EE2B9-790A-46A0-BAC0-844E512C0C28}">
  <sheetPr codeName="Planilha13"/>
  <dimension ref="A1:K36"/>
  <sheetViews>
    <sheetView showGridLines="0" workbookViewId="0">
      <selection activeCell="Q16" sqref="Q16"/>
    </sheetView>
  </sheetViews>
  <sheetFormatPr defaultRowHeight="15" x14ac:dyDescent="0.25"/>
  <cols>
    <col min="1" max="1" width="17.5703125" bestFit="1" customWidth="1"/>
    <col min="2" max="2" width="11.7109375" bestFit="1" customWidth="1"/>
    <col min="3" max="3" width="10.28515625" bestFit="1" customWidth="1"/>
    <col min="4" max="4" width="5.85546875" bestFit="1" customWidth="1"/>
    <col min="5" max="5" width="9.85546875" style="1" bestFit="1" customWidth="1"/>
    <col min="6" max="6" width="2.7109375" customWidth="1"/>
    <col min="7" max="7" width="17.5703125" bestFit="1" customWidth="1"/>
    <col min="8" max="8" width="11.7109375" bestFit="1" customWidth="1"/>
    <col min="9" max="9" width="10.28515625" bestFit="1" customWidth="1"/>
    <col min="10" max="10" width="5.85546875" bestFit="1" customWidth="1"/>
    <col min="11" max="11" width="8.7109375" bestFit="1" customWidth="1"/>
  </cols>
  <sheetData>
    <row r="1" spans="1:11" ht="19.5" customHeight="1" thickBot="1" x14ac:dyDescent="0.45">
      <c r="A1" s="21" t="s">
        <v>38</v>
      </c>
      <c r="B1" s="21"/>
      <c r="C1" s="21"/>
      <c r="D1" s="21"/>
      <c r="E1" s="21"/>
      <c r="F1" s="21"/>
      <c r="G1" s="21"/>
      <c r="H1" s="21"/>
      <c r="I1" s="21"/>
      <c r="J1" s="21"/>
      <c r="K1" s="21"/>
    </row>
    <row r="2" spans="1:11" x14ac:dyDescent="0.25">
      <c r="A2" s="18" t="s">
        <v>22</v>
      </c>
      <c r="B2" s="19"/>
      <c r="C2" s="19"/>
      <c r="D2" s="19"/>
      <c r="E2" s="20"/>
      <c r="G2" s="18" t="s">
        <v>23</v>
      </c>
      <c r="H2" s="19"/>
      <c r="I2" s="19"/>
      <c r="J2" s="19"/>
      <c r="K2" s="20"/>
    </row>
    <row r="3" spans="1:11" x14ac:dyDescent="0.25">
      <c r="A3" s="5" t="s">
        <v>0</v>
      </c>
      <c r="B3" s="4" t="s">
        <v>4</v>
      </c>
      <c r="C3" s="4" t="s">
        <v>1</v>
      </c>
      <c r="D3" s="4" t="s">
        <v>3</v>
      </c>
      <c r="E3" s="6" t="s">
        <v>9</v>
      </c>
      <c r="G3" s="5" t="s">
        <v>0</v>
      </c>
      <c r="H3" s="4" t="s">
        <v>4</v>
      </c>
      <c r="I3" s="4" t="s">
        <v>1</v>
      </c>
      <c r="J3" s="4" t="s">
        <v>3</v>
      </c>
      <c r="K3" s="6" t="s">
        <v>9</v>
      </c>
    </row>
    <row r="4" spans="1:11" x14ac:dyDescent="0.25">
      <c r="A4" s="7" t="s">
        <v>8</v>
      </c>
      <c r="B4" s="2" t="str">
        <f>VLOOKUP(A4,'Base de Dados'!$D$2:$E$1048576,2,)</f>
        <v>Pleno</v>
      </c>
      <c r="C4" s="2">
        <v>1</v>
      </c>
      <c r="D4" s="2">
        <f>VLOOKUP(B4,'Base de Dados'!$A$2:$B$7,2,FALSE)</f>
        <v>20</v>
      </c>
      <c r="E4" s="8">
        <f>C4/D4</f>
        <v>0.05</v>
      </c>
      <c r="G4" s="7" t="s">
        <v>8</v>
      </c>
      <c r="H4" s="2" t="str">
        <f>VLOOKUP(G4,'Base de Dados'!$D$2:$E$1048576,2,)</f>
        <v>Pleno</v>
      </c>
      <c r="I4" s="2">
        <v>9</v>
      </c>
      <c r="J4" s="2">
        <f>VLOOKUP(H4,'Base de Dados'!$A$2:$B$7,2,FALSE)</f>
        <v>20</v>
      </c>
      <c r="K4" s="8">
        <f>I4/J4</f>
        <v>0.45</v>
      </c>
    </row>
    <row r="5" spans="1:11" x14ac:dyDescent="0.25">
      <c r="A5" s="7" t="s">
        <v>13</v>
      </c>
      <c r="B5" s="2" t="str">
        <f>VLOOKUP(A5,'Base de Dados'!$D$2:$E$1048576,2,)</f>
        <v>Pleno</v>
      </c>
      <c r="C5" s="2">
        <v>2</v>
      </c>
      <c r="D5" s="2">
        <f>VLOOKUP(B5,'Base de Dados'!$A$2:$B$7,2,FALSE)</f>
        <v>20</v>
      </c>
      <c r="E5" s="8">
        <f t="shared" ref="E5:E12" si="0">C5/D5</f>
        <v>0.1</v>
      </c>
      <c r="G5" s="7" t="s">
        <v>13</v>
      </c>
      <c r="H5" s="2" t="str">
        <f>VLOOKUP(G5,'Base de Dados'!$D$2:$E$1048576,2,)</f>
        <v>Pleno</v>
      </c>
      <c r="I5" s="2">
        <v>8</v>
      </c>
      <c r="J5" s="2">
        <f>VLOOKUP(H5,'Base de Dados'!$A$2:$B$7,2,FALSE)</f>
        <v>20</v>
      </c>
      <c r="K5" s="8">
        <f t="shared" ref="K5:K12" si="1">I5/J5</f>
        <v>0.4</v>
      </c>
    </row>
    <row r="6" spans="1:11" x14ac:dyDescent="0.25">
      <c r="A6" s="7" t="s">
        <v>14</v>
      </c>
      <c r="B6" s="2" t="str">
        <f>VLOOKUP(A6,'Base de Dados'!$D$2:$E$1048576,2,)</f>
        <v>Pleno</v>
      </c>
      <c r="C6" s="2">
        <v>3</v>
      </c>
      <c r="D6" s="2">
        <f>VLOOKUP(B6,'Base de Dados'!$A$2:$B$7,2,FALSE)</f>
        <v>20</v>
      </c>
      <c r="E6" s="8">
        <f t="shared" si="0"/>
        <v>0.15</v>
      </c>
      <c r="G6" s="7" t="s">
        <v>14</v>
      </c>
      <c r="H6" s="2" t="str">
        <f>VLOOKUP(G6,'Base de Dados'!$D$2:$E$1048576,2,)</f>
        <v>Pleno</v>
      </c>
      <c r="I6" s="2">
        <v>7</v>
      </c>
      <c r="J6" s="2">
        <f>VLOOKUP(H6,'Base de Dados'!$A$2:$B$7,2,FALSE)</f>
        <v>20</v>
      </c>
      <c r="K6" s="8">
        <f t="shared" si="1"/>
        <v>0.35</v>
      </c>
    </row>
    <row r="7" spans="1:11" x14ac:dyDescent="0.25">
      <c r="A7" s="7" t="s">
        <v>15</v>
      </c>
      <c r="B7" s="2" t="str">
        <f>VLOOKUP(A7,'Base de Dados'!$D$2:$E$1048576,2,)</f>
        <v>Junior</v>
      </c>
      <c r="C7" s="2">
        <v>4</v>
      </c>
      <c r="D7" s="2">
        <f>VLOOKUP(B7,'Base de Dados'!$A$2:$B$7,2,FALSE)</f>
        <v>15</v>
      </c>
      <c r="E7" s="8">
        <f t="shared" si="0"/>
        <v>0.26666666666666666</v>
      </c>
      <c r="G7" s="7" t="s">
        <v>15</v>
      </c>
      <c r="H7" s="2" t="str">
        <f>VLOOKUP(G7,'Base de Dados'!$D$2:$E$1048576,2,)</f>
        <v>Junior</v>
      </c>
      <c r="I7" s="2">
        <v>6</v>
      </c>
      <c r="J7" s="2">
        <f>VLOOKUP(H7,'Base de Dados'!$A$2:$B$7,2,FALSE)</f>
        <v>15</v>
      </c>
      <c r="K7" s="8">
        <f t="shared" si="1"/>
        <v>0.4</v>
      </c>
    </row>
    <row r="8" spans="1:11" x14ac:dyDescent="0.25">
      <c r="A8" s="7" t="s">
        <v>16</v>
      </c>
      <c r="B8" s="2" t="str">
        <f>VLOOKUP(A8,'Base de Dados'!$D$2:$E$1048576,2,)</f>
        <v>Junior</v>
      </c>
      <c r="C8" s="2">
        <v>5</v>
      </c>
      <c r="D8" s="2">
        <f>VLOOKUP(B8,'Base de Dados'!$A$2:$B$7,2,FALSE)</f>
        <v>15</v>
      </c>
      <c r="E8" s="8">
        <f t="shared" si="0"/>
        <v>0.33333333333333331</v>
      </c>
      <c r="G8" s="7" t="s">
        <v>16</v>
      </c>
      <c r="H8" s="2" t="str">
        <f>VLOOKUP(G8,'Base de Dados'!$D$2:$E$1048576,2,)</f>
        <v>Junior</v>
      </c>
      <c r="I8" s="2">
        <v>5</v>
      </c>
      <c r="J8" s="2">
        <f>VLOOKUP(H8,'Base de Dados'!$A$2:$B$7,2,FALSE)</f>
        <v>15</v>
      </c>
      <c r="K8" s="8">
        <f t="shared" si="1"/>
        <v>0.33333333333333331</v>
      </c>
    </row>
    <row r="9" spans="1:11" x14ac:dyDescent="0.25">
      <c r="A9" s="7" t="s">
        <v>17</v>
      </c>
      <c r="B9" s="2" t="str">
        <f>VLOOKUP(A9,'Base de Dados'!$D$2:$E$1048576,2,)</f>
        <v>Especialista</v>
      </c>
      <c r="C9" s="2">
        <v>6</v>
      </c>
      <c r="D9" s="2">
        <f>VLOOKUP(B9,'Base de Dados'!$A$2:$B$7,2,FALSE)</f>
        <v>30</v>
      </c>
      <c r="E9" s="8">
        <f t="shared" si="0"/>
        <v>0.2</v>
      </c>
      <c r="G9" s="7" t="s">
        <v>17</v>
      </c>
      <c r="H9" s="2" t="str">
        <f>VLOOKUP(G9,'Base de Dados'!$D$2:$E$1048576,2,)</f>
        <v>Especialista</v>
      </c>
      <c r="I9" s="2">
        <v>4</v>
      </c>
      <c r="J9" s="2">
        <f>VLOOKUP(H9,'Base de Dados'!$A$2:$B$7,2,FALSE)</f>
        <v>30</v>
      </c>
      <c r="K9" s="8">
        <f t="shared" si="1"/>
        <v>0.13333333333333333</v>
      </c>
    </row>
    <row r="10" spans="1:11" x14ac:dyDescent="0.25">
      <c r="A10" s="7" t="s">
        <v>18</v>
      </c>
      <c r="B10" s="2" t="str">
        <f>VLOOKUP(A10,'Base de Dados'!$D$2:$E$1048576,2,)</f>
        <v>Junior</v>
      </c>
      <c r="C10" s="2">
        <v>7</v>
      </c>
      <c r="D10" s="2">
        <f>VLOOKUP(B10,'Base de Dados'!$A$2:$B$7,2,FALSE)</f>
        <v>15</v>
      </c>
      <c r="E10" s="8">
        <f t="shared" si="0"/>
        <v>0.46666666666666667</v>
      </c>
      <c r="G10" s="7" t="s">
        <v>18</v>
      </c>
      <c r="H10" s="2" t="str">
        <f>VLOOKUP(G10,'Base de Dados'!$D$2:$E$1048576,2,)</f>
        <v>Junior</v>
      </c>
      <c r="I10" s="2">
        <v>3</v>
      </c>
      <c r="J10" s="2">
        <f>VLOOKUP(H10,'Base de Dados'!$A$2:$B$7,2,FALSE)</f>
        <v>15</v>
      </c>
      <c r="K10" s="8">
        <f t="shared" si="1"/>
        <v>0.2</v>
      </c>
    </row>
    <row r="11" spans="1:11" x14ac:dyDescent="0.25">
      <c r="A11" s="7" t="s">
        <v>19</v>
      </c>
      <c r="B11" s="2" t="str">
        <f>VLOOKUP(A11,'Base de Dados'!$D$2:$E$1048576,2,)</f>
        <v>Junior</v>
      </c>
      <c r="C11" s="2">
        <v>8</v>
      </c>
      <c r="D11" s="2">
        <f>VLOOKUP(B11,'Base de Dados'!$A$2:$B$7,2,FALSE)</f>
        <v>15</v>
      </c>
      <c r="E11" s="8">
        <f t="shared" si="0"/>
        <v>0.53333333333333333</v>
      </c>
      <c r="G11" s="7" t="s">
        <v>19</v>
      </c>
      <c r="H11" s="2" t="str">
        <f>VLOOKUP(G11,'Base de Dados'!$D$2:$E$1048576,2,)</f>
        <v>Junior</v>
      </c>
      <c r="I11" s="2">
        <v>2</v>
      </c>
      <c r="J11" s="2">
        <f>VLOOKUP(H11,'Base de Dados'!$A$2:$B$7,2,FALSE)</f>
        <v>15</v>
      </c>
      <c r="K11" s="8">
        <f t="shared" si="1"/>
        <v>0.13333333333333333</v>
      </c>
    </row>
    <row r="12" spans="1:11" ht="15.75" thickBot="1" x14ac:dyDescent="0.3">
      <c r="A12" s="9" t="s">
        <v>20</v>
      </c>
      <c r="B12" s="10" t="str">
        <f>VLOOKUP(A12,'Base de Dados'!$D$2:$E$1048576,2,)</f>
        <v>Junior</v>
      </c>
      <c r="C12" s="10">
        <v>9</v>
      </c>
      <c r="D12" s="10">
        <f>VLOOKUP(B12,'Base de Dados'!$A$2:$B$7,2,FALSE)</f>
        <v>15</v>
      </c>
      <c r="E12" s="11">
        <f t="shared" si="0"/>
        <v>0.6</v>
      </c>
      <c r="G12" s="9" t="s">
        <v>20</v>
      </c>
      <c r="H12" s="10" t="str">
        <f>VLOOKUP(G12,'Base de Dados'!$D$2:$E$1048576,2,)</f>
        <v>Junior</v>
      </c>
      <c r="I12" s="10">
        <v>1</v>
      </c>
      <c r="J12" s="10">
        <f>VLOOKUP(H12,'Base de Dados'!$A$2:$B$7,2,FALSE)</f>
        <v>15</v>
      </c>
      <c r="K12" s="11">
        <f t="shared" si="1"/>
        <v>6.6666666666666666E-2</v>
      </c>
    </row>
    <row r="13" spans="1:11" ht="15.75" thickBot="1" x14ac:dyDescent="0.3"/>
    <row r="14" spans="1:11" x14ac:dyDescent="0.25">
      <c r="A14" s="18" t="s">
        <v>24</v>
      </c>
      <c r="B14" s="19"/>
      <c r="C14" s="19"/>
      <c r="D14" s="19"/>
      <c r="E14" s="20"/>
      <c r="G14" s="18" t="s">
        <v>25</v>
      </c>
      <c r="H14" s="19"/>
      <c r="I14" s="19"/>
      <c r="J14" s="19"/>
      <c r="K14" s="20"/>
    </row>
    <row r="15" spans="1:11" x14ac:dyDescent="0.25">
      <c r="A15" s="5" t="s">
        <v>0</v>
      </c>
      <c r="B15" s="4" t="s">
        <v>4</v>
      </c>
      <c r="C15" s="4" t="s">
        <v>1</v>
      </c>
      <c r="D15" s="4" t="s">
        <v>3</v>
      </c>
      <c r="E15" s="6" t="s">
        <v>9</v>
      </c>
      <c r="G15" s="5" t="s">
        <v>0</v>
      </c>
      <c r="H15" s="4" t="s">
        <v>4</v>
      </c>
      <c r="I15" s="4" t="s">
        <v>1</v>
      </c>
      <c r="J15" s="4" t="s">
        <v>3</v>
      </c>
      <c r="K15" s="6" t="s">
        <v>9</v>
      </c>
    </row>
    <row r="16" spans="1:11" x14ac:dyDescent="0.25">
      <c r="A16" s="7" t="s">
        <v>8</v>
      </c>
      <c r="B16" s="2" t="str">
        <f>VLOOKUP(A16,'Base de Dados'!$D$2:$E$1048576,2,)</f>
        <v>Pleno</v>
      </c>
      <c r="C16" s="2">
        <v>2</v>
      </c>
      <c r="D16" s="2">
        <f>VLOOKUP(B16,'Base de Dados'!$A$2:$B$7,2,FALSE)</f>
        <v>20</v>
      </c>
      <c r="E16" s="8">
        <f>C16/D16</f>
        <v>0.1</v>
      </c>
      <c r="G16" s="7" t="s">
        <v>8</v>
      </c>
      <c r="H16" s="2" t="str">
        <f>VLOOKUP(G16,'Base de Dados'!$D$2:$E$1048576,2,)</f>
        <v>Pleno</v>
      </c>
      <c r="I16" s="2">
        <v>1</v>
      </c>
      <c r="J16" s="2">
        <f>VLOOKUP(H16,'Base de Dados'!$A$2:$B$7,2,FALSE)</f>
        <v>20</v>
      </c>
      <c r="K16" s="8">
        <f>I16/J16</f>
        <v>0.05</v>
      </c>
    </row>
    <row r="17" spans="1:11" x14ac:dyDescent="0.25">
      <c r="A17" s="7" t="s">
        <v>13</v>
      </c>
      <c r="B17" s="2" t="str">
        <f>VLOOKUP(A17,'Base de Dados'!$D$2:$E$1048576,2,)</f>
        <v>Pleno</v>
      </c>
      <c r="C17" s="2">
        <v>4</v>
      </c>
      <c r="D17" s="2">
        <f>VLOOKUP(B17,'Base de Dados'!$A$2:$B$7,2,FALSE)</f>
        <v>20</v>
      </c>
      <c r="E17" s="8">
        <f t="shared" ref="E17:E24" si="2">C17/D17</f>
        <v>0.2</v>
      </c>
      <c r="G17" s="7" t="s">
        <v>13</v>
      </c>
      <c r="H17" s="2" t="str">
        <f>VLOOKUP(G17,'Base de Dados'!$D$2:$E$1048576,2,)</f>
        <v>Pleno</v>
      </c>
      <c r="I17" s="2">
        <v>2</v>
      </c>
      <c r="J17" s="2">
        <f>VLOOKUP(H17,'Base de Dados'!$A$2:$B$7,2,FALSE)</f>
        <v>20</v>
      </c>
      <c r="K17" s="8">
        <f t="shared" ref="K17:K24" si="3">I17/J17</f>
        <v>0.1</v>
      </c>
    </row>
    <row r="18" spans="1:11" x14ac:dyDescent="0.25">
      <c r="A18" s="7" t="s">
        <v>14</v>
      </c>
      <c r="B18" s="2" t="str">
        <f>VLOOKUP(A18,'Base de Dados'!$D$2:$E$1048576,2,)</f>
        <v>Pleno</v>
      </c>
      <c r="C18" s="2">
        <v>6</v>
      </c>
      <c r="D18" s="2">
        <f>VLOOKUP(B18,'Base de Dados'!$A$2:$B$7,2,FALSE)</f>
        <v>20</v>
      </c>
      <c r="E18" s="8">
        <f t="shared" si="2"/>
        <v>0.3</v>
      </c>
      <c r="G18" s="7" t="s">
        <v>14</v>
      </c>
      <c r="H18" s="2" t="str">
        <f>VLOOKUP(G18,'Base de Dados'!$D$2:$E$1048576,2,)</f>
        <v>Pleno</v>
      </c>
      <c r="I18" s="2">
        <v>3</v>
      </c>
      <c r="J18" s="2">
        <f>VLOOKUP(H18,'Base de Dados'!$A$2:$B$7,2,FALSE)</f>
        <v>20</v>
      </c>
      <c r="K18" s="8">
        <f t="shared" si="3"/>
        <v>0.15</v>
      </c>
    </row>
    <row r="19" spans="1:11" x14ac:dyDescent="0.25">
      <c r="A19" s="7" t="s">
        <v>15</v>
      </c>
      <c r="B19" s="2" t="str">
        <f>VLOOKUP(A19,'Base de Dados'!$D$2:$E$1048576,2,)</f>
        <v>Junior</v>
      </c>
      <c r="C19" s="2">
        <v>8</v>
      </c>
      <c r="D19" s="2">
        <f>VLOOKUP(B19,'Base de Dados'!$A$2:$B$7,2,FALSE)</f>
        <v>15</v>
      </c>
      <c r="E19" s="8">
        <f t="shared" si="2"/>
        <v>0.53333333333333333</v>
      </c>
      <c r="G19" s="7" t="s">
        <v>15</v>
      </c>
      <c r="H19" s="2" t="str">
        <f>VLOOKUP(G19,'Base de Dados'!$D$2:$E$1048576,2,)</f>
        <v>Junior</v>
      </c>
      <c r="I19" s="2">
        <v>5</v>
      </c>
      <c r="J19" s="2">
        <f>VLOOKUP(H19,'Base de Dados'!$A$2:$B$7,2,FALSE)</f>
        <v>15</v>
      </c>
      <c r="K19" s="8">
        <f t="shared" si="3"/>
        <v>0.33333333333333331</v>
      </c>
    </row>
    <row r="20" spans="1:11" x14ac:dyDescent="0.25">
      <c r="A20" s="7" t="s">
        <v>16</v>
      </c>
      <c r="B20" s="2" t="str">
        <f>VLOOKUP(A20,'Base de Dados'!$D$2:$E$1048576,2,)</f>
        <v>Junior</v>
      </c>
      <c r="C20" s="2">
        <v>10</v>
      </c>
      <c r="D20" s="2">
        <f>VLOOKUP(B20,'Base de Dados'!$A$2:$B$7,2,FALSE)</f>
        <v>15</v>
      </c>
      <c r="E20" s="8">
        <f t="shared" si="2"/>
        <v>0.66666666666666663</v>
      </c>
      <c r="G20" s="7" t="s">
        <v>16</v>
      </c>
      <c r="H20" s="2" t="str">
        <f>VLOOKUP(G20,'Base de Dados'!$D$2:$E$1048576,2,)</f>
        <v>Junior</v>
      </c>
      <c r="I20" s="2">
        <v>8</v>
      </c>
      <c r="J20" s="2">
        <f>VLOOKUP(H20,'Base de Dados'!$A$2:$B$7,2,FALSE)</f>
        <v>15</v>
      </c>
      <c r="K20" s="8">
        <f t="shared" si="3"/>
        <v>0.53333333333333333</v>
      </c>
    </row>
    <row r="21" spans="1:11" x14ac:dyDescent="0.25">
      <c r="A21" s="7" t="s">
        <v>17</v>
      </c>
      <c r="B21" s="2" t="str">
        <f>VLOOKUP(A21,'Base de Dados'!$D$2:$E$1048576,2,)</f>
        <v>Especialista</v>
      </c>
      <c r="C21" s="2">
        <v>12</v>
      </c>
      <c r="D21" s="2">
        <f>VLOOKUP(B21,'Base de Dados'!$A$2:$B$7,2,FALSE)</f>
        <v>30</v>
      </c>
      <c r="E21" s="8">
        <f t="shared" si="2"/>
        <v>0.4</v>
      </c>
      <c r="G21" s="7" t="s">
        <v>17</v>
      </c>
      <c r="H21" s="2" t="str">
        <f>VLOOKUP(G21,'Base de Dados'!$D$2:$E$1048576,2,)</f>
        <v>Especialista</v>
      </c>
      <c r="I21" s="2">
        <v>13</v>
      </c>
      <c r="J21" s="2">
        <f>VLOOKUP(H21,'Base de Dados'!$A$2:$B$7,2,FALSE)</f>
        <v>30</v>
      </c>
      <c r="K21" s="8">
        <f t="shared" si="3"/>
        <v>0.43333333333333335</v>
      </c>
    </row>
    <row r="22" spans="1:11" x14ac:dyDescent="0.25">
      <c r="A22" s="7" t="s">
        <v>18</v>
      </c>
      <c r="B22" s="2" t="str">
        <f>VLOOKUP(A22,'Base de Dados'!$D$2:$E$1048576,2,)</f>
        <v>Junior</v>
      </c>
      <c r="C22" s="2">
        <v>14</v>
      </c>
      <c r="D22" s="2">
        <f>VLOOKUP(B22,'Base de Dados'!$A$2:$B$7,2,FALSE)</f>
        <v>15</v>
      </c>
      <c r="E22" s="8">
        <f t="shared" si="2"/>
        <v>0.93333333333333335</v>
      </c>
      <c r="G22" s="7" t="s">
        <v>18</v>
      </c>
      <c r="H22" s="2" t="str">
        <f>VLOOKUP(G22,'Base de Dados'!$D$2:$E$1048576,2,)</f>
        <v>Junior</v>
      </c>
      <c r="I22" s="2">
        <v>21</v>
      </c>
      <c r="J22" s="2">
        <f>VLOOKUP(H22,'Base de Dados'!$A$2:$B$7,2,FALSE)</f>
        <v>15</v>
      </c>
      <c r="K22" s="8">
        <f t="shared" si="3"/>
        <v>1.4</v>
      </c>
    </row>
    <row r="23" spans="1:11" x14ac:dyDescent="0.25">
      <c r="A23" s="7" t="s">
        <v>19</v>
      </c>
      <c r="B23" s="2" t="str">
        <f>VLOOKUP(A23,'Base de Dados'!$D$2:$E$1048576,2,)</f>
        <v>Junior</v>
      </c>
      <c r="C23" s="2">
        <v>16</v>
      </c>
      <c r="D23" s="2">
        <f>VLOOKUP(B23,'Base de Dados'!$A$2:$B$7,2,FALSE)</f>
        <v>15</v>
      </c>
      <c r="E23" s="8">
        <f t="shared" si="2"/>
        <v>1.0666666666666667</v>
      </c>
      <c r="G23" s="7" t="s">
        <v>19</v>
      </c>
      <c r="H23" s="2" t="str">
        <f>VLOOKUP(G23,'Base de Dados'!$D$2:$E$1048576,2,)</f>
        <v>Junior</v>
      </c>
      <c r="I23" s="2">
        <v>44</v>
      </c>
      <c r="J23" s="2">
        <f>VLOOKUP(H23,'Base de Dados'!$A$2:$B$7,2,FALSE)</f>
        <v>15</v>
      </c>
      <c r="K23" s="8">
        <f t="shared" si="3"/>
        <v>2.9333333333333331</v>
      </c>
    </row>
    <row r="24" spans="1:11" ht="15.75" thickBot="1" x14ac:dyDescent="0.3">
      <c r="A24" s="9" t="s">
        <v>20</v>
      </c>
      <c r="B24" s="10" t="str">
        <f>VLOOKUP(A24,'Base de Dados'!$D$2:$E$1048576,2,)</f>
        <v>Junior</v>
      </c>
      <c r="C24" s="10">
        <v>18</v>
      </c>
      <c r="D24" s="10">
        <f>VLOOKUP(B24,'Base de Dados'!$A$2:$B$7,2,FALSE)</f>
        <v>15</v>
      </c>
      <c r="E24" s="11">
        <f t="shared" si="2"/>
        <v>1.2</v>
      </c>
      <c r="G24" s="9" t="s">
        <v>20</v>
      </c>
      <c r="H24" s="10" t="str">
        <f>VLOOKUP(G24,'Base de Dados'!$D$2:$E$1048576,2,)</f>
        <v>Junior</v>
      </c>
      <c r="I24" s="10">
        <v>65</v>
      </c>
      <c r="J24" s="10">
        <f>VLOOKUP(H24,'Base de Dados'!$A$2:$B$7,2,FALSE)</f>
        <v>15</v>
      </c>
      <c r="K24" s="11">
        <f t="shared" si="3"/>
        <v>4.333333333333333</v>
      </c>
    </row>
    <row r="25" spans="1:11" ht="15.75" thickBot="1" x14ac:dyDescent="0.3"/>
    <row r="26" spans="1:11" x14ac:dyDescent="0.25">
      <c r="A26" s="18" t="s">
        <v>26</v>
      </c>
      <c r="B26" s="19"/>
      <c r="C26" s="19"/>
      <c r="D26" s="19"/>
      <c r="E26" s="20"/>
    </row>
    <row r="27" spans="1:11" x14ac:dyDescent="0.25">
      <c r="A27" s="5" t="s">
        <v>0</v>
      </c>
      <c r="B27" s="4" t="s">
        <v>4</v>
      </c>
      <c r="C27" s="4" t="s">
        <v>1</v>
      </c>
      <c r="D27" s="4" t="s">
        <v>3</v>
      </c>
      <c r="E27" s="6" t="s">
        <v>9</v>
      </c>
    </row>
    <row r="28" spans="1:11" x14ac:dyDescent="0.25">
      <c r="A28" s="7" t="s">
        <v>8</v>
      </c>
      <c r="B28" s="2" t="str">
        <f>VLOOKUP(A28,'Base de Dados'!$D$2:$E$1048576,2,)</f>
        <v>Pleno</v>
      </c>
      <c r="C28" s="2">
        <v>2</v>
      </c>
      <c r="D28" s="2">
        <f>VLOOKUP(B28,'Base de Dados'!$A$2:$B$7,2,FALSE)</f>
        <v>20</v>
      </c>
      <c r="E28" s="8">
        <f>C28/D28</f>
        <v>0.1</v>
      </c>
    </row>
    <row r="29" spans="1:11" x14ac:dyDescent="0.25">
      <c r="A29" s="7" t="s">
        <v>13</v>
      </c>
      <c r="B29" s="2" t="str">
        <f>VLOOKUP(A29,'Base de Dados'!$D$2:$E$1048576,2,)</f>
        <v>Pleno</v>
      </c>
      <c r="C29" s="2">
        <v>4</v>
      </c>
      <c r="D29" s="2">
        <f>VLOOKUP(B29,'Base de Dados'!$A$2:$B$7,2,FALSE)</f>
        <v>20</v>
      </c>
      <c r="E29" s="8">
        <f t="shared" ref="E29:E36" si="4">C29/D29</f>
        <v>0.2</v>
      </c>
    </row>
    <row r="30" spans="1:11" x14ac:dyDescent="0.25">
      <c r="A30" s="7" t="s">
        <v>14</v>
      </c>
      <c r="B30" s="2" t="str">
        <f>VLOOKUP(A30,'Base de Dados'!$D$2:$E$1048576,2,)</f>
        <v>Pleno</v>
      </c>
      <c r="C30" s="2">
        <v>8</v>
      </c>
      <c r="D30" s="2">
        <f>VLOOKUP(B30,'Base de Dados'!$A$2:$B$7,2,FALSE)</f>
        <v>20</v>
      </c>
      <c r="E30" s="8">
        <f t="shared" si="4"/>
        <v>0.4</v>
      </c>
    </row>
    <row r="31" spans="1:11" x14ac:dyDescent="0.25">
      <c r="A31" s="7" t="s">
        <v>15</v>
      </c>
      <c r="B31" s="2" t="str">
        <f>VLOOKUP(A31,'Base de Dados'!$D$2:$E$1048576,2,)</f>
        <v>Junior</v>
      </c>
      <c r="C31" s="2">
        <v>16</v>
      </c>
      <c r="D31" s="2">
        <f>VLOOKUP(B31,'Base de Dados'!$A$2:$B$7,2,FALSE)</f>
        <v>15</v>
      </c>
      <c r="E31" s="8">
        <f t="shared" si="4"/>
        <v>1.0666666666666667</v>
      </c>
    </row>
    <row r="32" spans="1:11" x14ac:dyDescent="0.25">
      <c r="A32" s="7" t="s">
        <v>16</v>
      </c>
      <c r="B32" s="2" t="str">
        <f>VLOOKUP(A32,'Base de Dados'!$D$2:$E$1048576,2,)</f>
        <v>Junior</v>
      </c>
      <c r="C32" s="2">
        <v>32</v>
      </c>
      <c r="D32" s="2">
        <f>VLOOKUP(B32,'Base de Dados'!$A$2:$B$7,2,FALSE)</f>
        <v>15</v>
      </c>
      <c r="E32" s="8">
        <f t="shared" si="4"/>
        <v>2.1333333333333333</v>
      </c>
    </row>
    <row r="33" spans="1:5" x14ac:dyDescent="0.25">
      <c r="A33" s="7" t="s">
        <v>17</v>
      </c>
      <c r="B33" s="2" t="str">
        <f>VLOOKUP(A33,'Base de Dados'!$D$2:$E$1048576,2,)</f>
        <v>Especialista</v>
      </c>
      <c r="C33" s="2">
        <v>64</v>
      </c>
      <c r="D33" s="2">
        <f>VLOOKUP(B33,'Base de Dados'!$A$2:$B$7,2,FALSE)</f>
        <v>30</v>
      </c>
      <c r="E33" s="8">
        <f t="shared" si="4"/>
        <v>2.1333333333333333</v>
      </c>
    </row>
    <row r="34" spans="1:5" x14ac:dyDescent="0.25">
      <c r="A34" s="7" t="s">
        <v>18</v>
      </c>
      <c r="B34" s="2" t="str">
        <f>VLOOKUP(A34,'Base de Dados'!$D$2:$E$1048576,2,)</f>
        <v>Junior</v>
      </c>
      <c r="C34" s="2">
        <v>128</v>
      </c>
      <c r="D34" s="2">
        <f>VLOOKUP(B34,'Base de Dados'!$A$2:$B$7,2,FALSE)</f>
        <v>15</v>
      </c>
      <c r="E34" s="8">
        <f t="shared" si="4"/>
        <v>8.5333333333333332</v>
      </c>
    </row>
    <row r="35" spans="1:5" x14ac:dyDescent="0.25">
      <c r="A35" s="7" t="s">
        <v>19</v>
      </c>
      <c r="B35" s="2" t="str">
        <f>VLOOKUP(A35,'Base de Dados'!$D$2:$E$1048576,2,)</f>
        <v>Junior</v>
      </c>
      <c r="C35" s="2">
        <v>256</v>
      </c>
      <c r="D35" s="2">
        <f>VLOOKUP(B35,'Base de Dados'!$A$2:$B$7,2,FALSE)</f>
        <v>15</v>
      </c>
      <c r="E35" s="8">
        <f t="shared" si="4"/>
        <v>17.066666666666666</v>
      </c>
    </row>
    <row r="36" spans="1:5" ht="15.75" thickBot="1" x14ac:dyDescent="0.3">
      <c r="A36" s="9" t="s">
        <v>20</v>
      </c>
      <c r="B36" s="10" t="str">
        <f>VLOOKUP(A36,'Base de Dados'!$D$2:$E$1048576,2,)</f>
        <v>Junior</v>
      </c>
      <c r="C36" s="10">
        <v>512</v>
      </c>
      <c r="D36" s="10">
        <f>VLOOKUP(B36,'Base de Dados'!$A$2:$B$7,2,FALSE)</f>
        <v>15</v>
      </c>
      <c r="E36" s="11">
        <f t="shared" si="4"/>
        <v>34.133333333333333</v>
      </c>
    </row>
  </sheetData>
  <mergeCells count="6">
    <mergeCell ref="A26:E26"/>
    <mergeCell ref="A1:K1"/>
    <mergeCell ref="A2:E2"/>
    <mergeCell ref="G2:K2"/>
    <mergeCell ref="A14:E14"/>
    <mergeCell ref="G14:K14"/>
  </mergeCells>
  <conditionalFormatting sqref="E16:E24">
    <cfRule type="dataBar" priority="5">
      <dataBar>
        <cfvo type="percent" val="0"/>
        <cfvo type="percent" val="100"/>
        <color theme="8" tint="-0.249977111117893"/>
      </dataBar>
      <extLst>
        <ext xmlns:x14="http://schemas.microsoft.com/office/spreadsheetml/2009/9/main" uri="{B025F937-C7B1-47D3-B67F-A62EFF666E3E}">
          <x14:id>{8EE3BE14-416C-470B-A333-94D6F0243FC3}</x14:id>
        </ext>
      </extLst>
    </cfRule>
  </conditionalFormatting>
  <conditionalFormatting sqref="E4:E12">
    <cfRule type="dataBar" priority="4">
      <dataBar>
        <cfvo type="percent" val="0"/>
        <cfvo type="percent" val="100"/>
        <color theme="8" tint="-0.249977111117893"/>
      </dataBar>
      <extLst>
        <ext xmlns:x14="http://schemas.microsoft.com/office/spreadsheetml/2009/9/main" uri="{B025F937-C7B1-47D3-B67F-A62EFF666E3E}">
          <x14:id>{D3B8413B-2B19-472C-82FA-04F7716349A0}</x14:id>
        </ext>
      </extLst>
    </cfRule>
  </conditionalFormatting>
  <conditionalFormatting sqref="K4:K12">
    <cfRule type="dataBar" priority="3">
      <dataBar>
        <cfvo type="percent" val="0"/>
        <cfvo type="percent" val="100"/>
        <color theme="8" tint="-0.249977111117893"/>
      </dataBar>
      <extLst>
        <ext xmlns:x14="http://schemas.microsoft.com/office/spreadsheetml/2009/9/main" uri="{B025F937-C7B1-47D3-B67F-A62EFF666E3E}">
          <x14:id>{03668BA1-FA2E-44CD-B222-36C243628034}</x14:id>
        </ext>
      </extLst>
    </cfRule>
  </conditionalFormatting>
  <conditionalFormatting sqref="K16:K24">
    <cfRule type="dataBar" priority="2">
      <dataBar>
        <cfvo type="percent" val="0"/>
        <cfvo type="percent" val="100"/>
        <color theme="8" tint="-0.249977111117893"/>
      </dataBar>
      <extLst>
        <ext xmlns:x14="http://schemas.microsoft.com/office/spreadsheetml/2009/9/main" uri="{B025F937-C7B1-47D3-B67F-A62EFF666E3E}">
          <x14:id>{ED9AC0F9-F0C9-4155-983D-4DC83450F133}</x14:id>
        </ext>
      </extLst>
    </cfRule>
  </conditionalFormatting>
  <conditionalFormatting sqref="E28:E36">
    <cfRule type="dataBar" priority="1">
      <dataBar>
        <cfvo type="percent" val="0"/>
        <cfvo type="percent" val="100"/>
        <color theme="8" tint="-0.249977111117893"/>
      </dataBar>
      <extLst>
        <ext xmlns:x14="http://schemas.microsoft.com/office/spreadsheetml/2009/9/main" uri="{B025F937-C7B1-47D3-B67F-A62EFF666E3E}">
          <x14:id>{90F02D65-1EB0-4CFC-96A4-54CDCAC48831}</x14:id>
        </ext>
      </extLst>
    </cfRule>
  </conditionalFormatting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EE3BE14-416C-470B-A333-94D6F0243FC3}">
            <x14:dataBar minLength="0" maxLength="100" direction="leftToRight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E16:E24</xm:sqref>
        </x14:conditionalFormatting>
        <x14:conditionalFormatting xmlns:xm="http://schemas.microsoft.com/office/excel/2006/main">
          <x14:cfRule type="dataBar" id="{D3B8413B-2B19-472C-82FA-04F7716349A0}">
            <x14:dataBar minLength="0" maxLength="100" direction="leftToRight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E4:E12</xm:sqref>
        </x14:conditionalFormatting>
        <x14:conditionalFormatting xmlns:xm="http://schemas.microsoft.com/office/excel/2006/main">
          <x14:cfRule type="dataBar" id="{03668BA1-FA2E-44CD-B222-36C243628034}">
            <x14:dataBar minLength="0" maxLength="100" direction="leftToRight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K4:K12</xm:sqref>
        </x14:conditionalFormatting>
        <x14:conditionalFormatting xmlns:xm="http://schemas.microsoft.com/office/excel/2006/main">
          <x14:cfRule type="dataBar" id="{ED9AC0F9-F0C9-4155-983D-4DC83450F133}">
            <x14:dataBar minLength="0" maxLength="100" direction="leftToRight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K16:K24</xm:sqref>
        </x14:conditionalFormatting>
        <x14:conditionalFormatting xmlns:xm="http://schemas.microsoft.com/office/excel/2006/main">
          <x14:cfRule type="dataBar" id="{90F02D65-1EB0-4CFC-96A4-54CDCAC48831}">
            <x14:dataBar minLength="0" maxLength="100" direction="leftToRight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E28:E36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A785642-B8F2-482E-8E45-C688D370E98B}">
          <x14:formula1>
            <xm:f>'Base de Dados'!$D$2:$D$1048576</xm:f>
          </x14:formula1>
          <xm:sqref>G4:G12 A4:A13 A16:A24 G16:G24 A28:A36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1D7243-7D24-4D47-97E7-FAE35DB97228}">
  <sheetPr codeName="Planilha14"/>
  <dimension ref="A1:K36"/>
  <sheetViews>
    <sheetView showGridLines="0" zoomScaleNormal="100" workbookViewId="0">
      <pane ySplit="1" topLeftCell="A2" activePane="bottomLeft" state="frozen"/>
      <selection pane="bottomLeft" sqref="A1:K1"/>
    </sheetView>
  </sheetViews>
  <sheetFormatPr defaultRowHeight="15" x14ac:dyDescent="0.25"/>
  <cols>
    <col min="1" max="1" width="17.5703125" bestFit="1" customWidth="1"/>
    <col min="2" max="2" width="11.7109375" bestFit="1" customWidth="1"/>
    <col min="3" max="3" width="10.28515625" bestFit="1" customWidth="1"/>
    <col min="4" max="4" width="5.85546875" bestFit="1" customWidth="1"/>
    <col min="5" max="5" width="9.85546875" style="1" bestFit="1" customWidth="1"/>
    <col min="6" max="6" width="2.7109375" customWidth="1"/>
    <col min="7" max="7" width="17.5703125" bestFit="1" customWidth="1"/>
    <col min="8" max="8" width="11.7109375" bestFit="1" customWidth="1"/>
    <col min="9" max="9" width="10.28515625" bestFit="1" customWidth="1"/>
    <col min="10" max="10" width="5.85546875" bestFit="1" customWidth="1"/>
    <col min="11" max="11" width="8.7109375" bestFit="1" customWidth="1"/>
    <col min="12" max="12" width="8.85546875" customWidth="1"/>
  </cols>
  <sheetData>
    <row r="1" spans="1:11" ht="19.5" thickBot="1" x14ac:dyDescent="0.45">
      <c r="A1" s="21" t="s">
        <v>35</v>
      </c>
      <c r="B1" s="21"/>
      <c r="C1" s="21"/>
      <c r="D1" s="21"/>
      <c r="E1" s="21"/>
      <c r="F1" s="21"/>
      <c r="G1" s="21"/>
      <c r="H1" s="21"/>
      <c r="I1" s="21"/>
      <c r="J1" s="21"/>
      <c r="K1" s="21"/>
    </row>
    <row r="2" spans="1:11" x14ac:dyDescent="0.25">
      <c r="A2" s="18" t="s">
        <v>22</v>
      </c>
      <c r="B2" s="19"/>
      <c r="C2" s="19"/>
      <c r="D2" s="19"/>
      <c r="E2" s="20"/>
      <c r="G2" s="18" t="s">
        <v>23</v>
      </c>
      <c r="H2" s="19"/>
      <c r="I2" s="19"/>
      <c r="J2" s="19"/>
      <c r="K2" s="20"/>
    </row>
    <row r="3" spans="1:11" x14ac:dyDescent="0.25">
      <c r="A3" s="5" t="s">
        <v>0</v>
      </c>
      <c r="B3" s="4" t="s">
        <v>4</v>
      </c>
      <c r="C3" s="4" t="s">
        <v>1</v>
      </c>
      <c r="D3" s="4" t="s">
        <v>3</v>
      </c>
      <c r="E3" s="6" t="s">
        <v>9</v>
      </c>
      <c r="G3" s="5" t="s">
        <v>0</v>
      </c>
      <c r="H3" s="4" t="s">
        <v>4</v>
      </c>
      <c r="I3" s="4" t="s">
        <v>1</v>
      </c>
      <c r="J3" s="4" t="s">
        <v>3</v>
      </c>
      <c r="K3" s="6" t="s">
        <v>9</v>
      </c>
    </row>
    <row r="4" spans="1:11" x14ac:dyDescent="0.25">
      <c r="A4" s="7" t="s">
        <v>8</v>
      </c>
      <c r="B4" s="2" t="str">
        <f>VLOOKUP(A4,'Base de Dados'!$D$2:$E$1048576,2,)</f>
        <v>Pleno</v>
      </c>
      <c r="C4" s="2">
        <v>1</v>
      </c>
      <c r="D4" s="2">
        <f>VLOOKUP(B4,'Base de Dados'!$A$2:$B$7,2,FALSE)</f>
        <v>20</v>
      </c>
      <c r="E4" s="8">
        <f>C4/D4</f>
        <v>0.05</v>
      </c>
      <c r="G4" s="7" t="s">
        <v>8</v>
      </c>
      <c r="H4" s="2" t="str">
        <f>VLOOKUP(G4,'Base de Dados'!$D$2:$E$1048576,2,)</f>
        <v>Pleno</v>
      </c>
      <c r="I4" s="2">
        <v>9</v>
      </c>
      <c r="J4" s="2">
        <f>VLOOKUP(H4,'Base de Dados'!$A$2:$B$7,2,FALSE)</f>
        <v>20</v>
      </c>
      <c r="K4" s="8">
        <f>I4/J4</f>
        <v>0.45</v>
      </c>
    </row>
    <row r="5" spans="1:11" x14ac:dyDescent="0.25">
      <c r="A5" s="7" t="s">
        <v>13</v>
      </c>
      <c r="B5" s="2" t="str">
        <f>VLOOKUP(A5,'Base de Dados'!$D$2:$E$1048576,2,)</f>
        <v>Pleno</v>
      </c>
      <c r="C5" s="2">
        <v>2</v>
      </c>
      <c r="D5" s="2">
        <f>VLOOKUP(B5,'Base de Dados'!$A$2:$B$7,2,FALSE)</f>
        <v>20</v>
      </c>
      <c r="E5" s="8">
        <f t="shared" ref="E5:E12" si="0">C5/D5</f>
        <v>0.1</v>
      </c>
      <c r="G5" s="7" t="s">
        <v>13</v>
      </c>
      <c r="H5" s="2" t="str">
        <f>VLOOKUP(G5,'Base de Dados'!$D$2:$E$1048576,2,)</f>
        <v>Pleno</v>
      </c>
      <c r="I5" s="2">
        <v>8</v>
      </c>
      <c r="J5" s="2">
        <f>VLOOKUP(H5,'Base de Dados'!$A$2:$B$7,2,FALSE)</f>
        <v>20</v>
      </c>
      <c r="K5" s="8">
        <f t="shared" ref="K5:K12" si="1">I5/J5</f>
        <v>0.4</v>
      </c>
    </row>
    <row r="6" spans="1:11" x14ac:dyDescent="0.25">
      <c r="A6" s="7" t="s">
        <v>14</v>
      </c>
      <c r="B6" s="2" t="str">
        <f>VLOOKUP(A6,'Base de Dados'!$D$2:$E$1048576,2,)</f>
        <v>Pleno</v>
      </c>
      <c r="C6" s="2">
        <v>3</v>
      </c>
      <c r="D6" s="2">
        <f>VLOOKUP(B6,'Base de Dados'!$A$2:$B$7,2,FALSE)</f>
        <v>20</v>
      </c>
      <c r="E6" s="8">
        <f t="shared" si="0"/>
        <v>0.15</v>
      </c>
      <c r="G6" s="7" t="s">
        <v>14</v>
      </c>
      <c r="H6" s="2" t="str">
        <f>VLOOKUP(G6,'Base de Dados'!$D$2:$E$1048576,2,)</f>
        <v>Pleno</v>
      </c>
      <c r="I6" s="2">
        <v>7</v>
      </c>
      <c r="J6" s="2">
        <f>VLOOKUP(H6,'Base de Dados'!$A$2:$B$7,2,FALSE)</f>
        <v>20</v>
      </c>
      <c r="K6" s="8">
        <f t="shared" si="1"/>
        <v>0.35</v>
      </c>
    </row>
    <row r="7" spans="1:11" x14ac:dyDescent="0.25">
      <c r="A7" s="7" t="s">
        <v>15</v>
      </c>
      <c r="B7" s="2" t="str">
        <f>VLOOKUP(A7,'Base de Dados'!$D$2:$E$1048576,2,)</f>
        <v>Junior</v>
      </c>
      <c r="C7" s="2">
        <v>4</v>
      </c>
      <c r="D7" s="2">
        <f>VLOOKUP(B7,'Base de Dados'!$A$2:$B$7,2,FALSE)</f>
        <v>15</v>
      </c>
      <c r="E7" s="8">
        <f t="shared" si="0"/>
        <v>0.26666666666666666</v>
      </c>
      <c r="G7" s="7" t="s">
        <v>15</v>
      </c>
      <c r="H7" s="2" t="str">
        <f>VLOOKUP(G7,'Base de Dados'!$D$2:$E$1048576,2,)</f>
        <v>Junior</v>
      </c>
      <c r="I7" s="2">
        <v>6</v>
      </c>
      <c r="J7" s="2">
        <f>VLOOKUP(H7,'Base de Dados'!$A$2:$B$7,2,FALSE)</f>
        <v>15</v>
      </c>
      <c r="K7" s="8">
        <f t="shared" si="1"/>
        <v>0.4</v>
      </c>
    </row>
    <row r="8" spans="1:11" x14ac:dyDescent="0.25">
      <c r="A8" s="7" t="s">
        <v>16</v>
      </c>
      <c r="B8" s="2" t="str">
        <f>VLOOKUP(A8,'Base de Dados'!$D$2:$E$1048576,2,)</f>
        <v>Junior</v>
      </c>
      <c r="C8" s="2">
        <v>5</v>
      </c>
      <c r="D8" s="2">
        <f>VLOOKUP(B8,'Base de Dados'!$A$2:$B$7,2,FALSE)</f>
        <v>15</v>
      </c>
      <c r="E8" s="8">
        <f t="shared" si="0"/>
        <v>0.33333333333333331</v>
      </c>
      <c r="G8" s="7" t="s">
        <v>16</v>
      </c>
      <c r="H8" s="2" t="str">
        <f>VLOOKUP(G8,'Base de Dados'!$D$2:$E$1048576,2,)</f>
        <v>Junior</v>
      </c>
      <c r="I8" s="2">
        <v>5</v>
      </c>
      <c r="J8" s="2">
        <f>VLOOKUP(H8,'Base de Dados'!$A$2:$B$7,2,FALSE)</f>
        <v>15</v>
      </c>
      <c r="K8" s="8">
        <f t="shared" si="1"/>
        <v>0.33333333333333331</v>
      </c>
    </row>
    <row r="9" spans="1:11" x14ac:dyDescent="0.25">
      <c r="A9" s="7" t="s">
        <v>17</v>
      </c>
      <c r="B9" s="2" t="str">
        <f>VLOOKUP(A9,'Base de Dados'!$D$2:$E$1048576,2,)</f>
        <v>Especialista</v>
      </c>
      <c r="C9" s="2">
        <v>6</v>
      </c>
      <c r="D9" s="2">
        <f>VLOOKUP(B9,'Base de Dados'!$A$2:$B$7,2,FALSE)</f>
        <v>30</v>
      </c>
      <c r="E9" s="8">
        <f t="shared" si="0"/>
        <v>0.2</v>
      </c>
      <c r="G9" s="7" t="s">
        <v>17</v>
      </c>
      <c r="H9" s="2" t="str">
        <f>VLOOKUP(G9,'Base de Dados'!$D$2:$E$1048576,2,)</f>
        <v>Especialista</v>
      </c>
      <c r="I9" s="2">
        <v>4</v>
      </c>
      <c r="J9" s="2">
        <f>VLOOKUP(H9,'Base de Dados'!$A$2:$B$7,2,FALSE)</f>
        <v>30</v>
      </c>
      <c r="K9" s="8">
        <f t="shared" si="1"/>
        <v>0.13333333333333333</v>
      </c>
    </row>
    <row r="10" spans="1:11" x14ac:dyDescent="0.25">
      <c r="A10" s="7" t="s">
        <v>18</v>
      </c>
      <c r="B10" s="2" t="str">
        <f>VLOOKUP(A10,'Base de Dados'!$D$2:$E$1048576,2,)</f>
        <v>Junior</v>
      </c>
      <c r="C10" s="2">
        <v>7</v>
      </c>
      <c r="D10" s="2">
        <f>VLOOKUP(B10,'Base de Dados'!$A$2:$B$7,2,FALSE)</f>
        <v>15</v>
      </c>
      <c r="E10" s="8">
        <f t="shared" si="0"/>
        <v>0.46666666666666667</v>
      </c>
      <c r="G10" s="7" t="s">
        <v>18</v>
      </c>
      <c r="H10" s="2" t="str">
        <f>VLOOKUP(G10,'Base de Dados'!$D$2:$E$1048576,2,)</f>
        <v>Junior</v>
      </c>
      <c r="I10" s="2">
        <v>3</v>
      </c>
      <c r="J10" s="2">
        <f>VLOOKUP(H10,'Base de Dados'!$A$2:$B$7,2,FALSE)</f>
        <v>15</v>
      </c>
      <c r="K10" s="8">
        <f t="shared" si="1"/>
        <v>0.2</v>
      </c>
    </row>
    <row r="11" spans="1:11" x14ac:dyDescent="0.25">
      <c r="A11" s="7" t="s">
        <v>19</v>
      </c>
      <c r="B11" s="2" t="str">
        <f>VLOOKUP(A11,'Base de Dados'!$D$2:$E$1048576,2,)</f>
        <v>Junior</v>
      </c>
      <c r="C11" s="2">
        <v>8</v>
      </c>
      <c r="D11" s="2">
        <f>VLOOKUP(B11,'Base de Dados'!$A$2:$B$7,2,FALSE)</f>
        <v>15</v>
      </c>
      <c r="E11" s="8">
        <f t="shared" si="0"/>
        <v>0.53333333333333333</v>
      </c>
      <c r="G11" s="7" t="s">
        <v>19</v>
      </c>
      <c r="H11" s="2" t="str">
        <f>VLOOKUP(G11,'Base de Dados'!$D$2:$E$1048576,2,)</f>
        <v>Junior</v>
      </c>
      <c r="I11" s="2">
        <v>2</v>
      </c>
      <c r="J11" s="2">
        <f>VLOOKUP(H11,'Base de Dados'!$A$2:$B$7,2,FALSE)</f>
        <v>15</v>
      </c>
      <c r="K11" s="8">
        <f t="shared" si="1"/>
        <v>0.13333333333333333</v>
      </c>
    </row>
    <row r="12" spans="1:11" ht="15.75" thickBot="1" x14ac:dyDescent="0.3">
      <c r="A12" s="9" t="s">
        <v>20</v>
      </c>
      <c r="B12" s="10" t="str">
        <f>VLOOKUP(A12,'Base de Dados'!$D$2:$E$1048576,2,)</f>
        <v>Junior</v>
      </c>
      <c r="C12" s="10">
        <v>9</v>
      </c>
      <c r="D12" s="10">
        <f>VLOOKUP(B12,'Base de Dados'!$A$2:$B$7,2,FALSE)</f>
        <v>15</v>
      </c>
      <c r="E12" s="11">
        <f t="shared" si="0"/>
        <v>0.6</v>
      </c>
      <c r="G12" s="9" t="s">
        <v>20</v>
      </c>
      <c r="H12" s="10" t="str">
        <f>VLOOKUP(G12,'Base de Dados'!$D$2:$E$1048576,2,)</f>
        <v>Junior</v>
      </c>
      <c r="I12" s="10">
        <v>1</v>
      </c>
      <c r="J12" s="10">
        <f>VLOOKUP(H12,'Base de Dados'!$A$2:$B$7,2,FALSE)</f>
        <v>15</v>
      </c>
      <c r="K12" s="11">
        <f t="shared" si="1"/>
        <v>6.6666666666666666E-2</v>
      </c>
    </row>
    <row r="13" spans="1:11" ht="15.75" thickBot="1" x14ac:dyDescent="0.3"/>
    <row r="14" spans="1:11" x14ac:dyDescent="0.25">
      <c r="A14" s="18" t="s">
        <v>24</v>
      </c>
      <c r="B14" s="19"/>
      <c r="C14" s="19"/>
      <c r="D14" s="19"/>
      <c r="E14" s="20"/>
      <c r="G14" s="18" t="s">
        <v>25</v>
      </c>
      <c r="H14" s="19"/>
      <c r="I14" s="19"/>
      <c r="J14" s="19"/>
      <c r="K14" s="20"/>
    </row>
    <row r="15" spans="1:11" x14ac:dyDescent="0.25">
      <c r="A15" s="5" t="s">
        <v>0</v>
      </c>
      <c r="B15" s="4" t="s">
        <v>4</v>
      </c>
      <c r="C15" s="4" t="s">
        <v>1</v>
      </c>
      <c r="D15" s="4" t="s">
        <v>3</v>
      </c>
      <c r="E15" s="6" t="s">
        <v>9</v>
      </c>
      <c r="G15" s="5" t="s">
        <v>0</v>
      </c>
      <c r="H15" s="4" t="s">
        <v>4</v>
      </c>
      <c r="I15" s="4" t="s">
        <v>1</v>
      </c>
      <c r="J15" s="4" t="s">
        <v>3</v>
      </c>
      <c r="K15" s="6" t="s">
        <v>9</v>
      </c>
    </row>
    <row r="16" spans="1:11" x14ac:dyDescent="0.25">
      <c r="A16" s="7" t="s">
        <v>8</v>
      </c>
      <c r="B16" s="2" t="str">
        <f>VLOOKUP(A16,'Base de Dados'!$D$2:$E$1048576,2,)</f>
        <v>Pleno</v>
      </c>
      <c r="C16" s="2">
        <v>2</v>
      </c>
      <c r="D16" s="2">
        <f>VLOOKUP(B16,'Base de Dados'!$A$2:$B$7,2,FALSE)</f>
        <v>20</v>
      </c>
      <c r="E16" s="8">
        <f>C16/D16</f>
        <v>0.1</v>
      </c>
      <c r="G16" s="7" t="s">
        <v>8</v>
      </c>
      <c r="H16" s="2" t="str">
        <f>VLOOKUP(G16,'Base de Dados'!$D$2:$E$1048576,2,)</f>
        <v>Pleno</v>
      </c>
      <c r="I16" s="2">
        <v>1</v>
      </c>
      <c r="J16" s="2">
        <f>VLOOKUP(H16,'Base de Dados'!$A$2:$B$7,2,FALSE)</f>
        <v>20</v>
      </c>
      <c r="K16" s="8">
        <f>I16/J16</f>
        <v>0.05</v>
      </c>
    </row>
    <row r="17" spans="1:11" x14ac:dyDescent="0.25">
      <c r="A17" s="7" t="s">
        <v>13</v>
      </c>
      <c r="B17" s="2" t="str">
        <f>VLOOKUP(A17,'Base de Dados'!$D$2:$E$1048576,2,)</f>
        <v>Pleno</v>
      </c>
      <c r="C17" s="2">
        <v>4</v>
      </c>
      <c r="D17" s="2">
        <f>VLOOKUP(B17,'Base de Dados'!$A$2:$B$7,2,FALSE)</f>
        <v>20</v>
      </c>
      <c r="E17" s="8">
        <f t="shared" ref="E17:E24" si="2">C17/D17</f>
        <v>0.2</v>
      </c>
      <c r="G17" s="7" t="s">
        <v>13</v>
      </c>
      <c r="H17" s="2" t="str">
        <f>VLOOKUP(G17,'Base de Dados'!$D$2:$E$1048576,2,)</f>
        <v>Pleno</v>
      </c>
      <c r="I17" s="2">
        <v>2</v>
      </c>
      <c r="J17" s="2">
        <f>VLOOKUP(H17,'Base de Dados'!$A$2:$B$7,2,FALSE)</f>
        <v>20</v>
      </c>
      <c r="K17" s="8">
        <f t="shared" ref="K17:K24" si="3">I17/J17</f>
        <v>0.1</v>
      </c>
    </row>
    <row r="18" spans="1:11" x14ac:dyDescent="0.25">
      <c r="A18" s="7" t="s">
        <v>14</v>
      </c>
      <c r="B18" s="2" t="str">
        <f>VLOOKUP(A18,'Base de Dados'!$D$2:$E$1048576,2,)</f>
        <v>Pleno</v>
      </c>
      <c r="C18" s="2">
        <v>6</v>
      </c>
      <c r="D18" s="2">
        <f>VLOOKUP(B18,'Base de Dados'!$A$2:$B$7,2,FALSE)</f>
        <v>20</v>
      </c>
      <c r="E18" s="8">
        <f t="shared" si="2"/>
        <v>0.3</v>
      </c>
      <c r="G18" s="7" t="s">
        <v>14</v>
      </c>
      <c r="H18" s="2" t="str">
        <f>VLOOKUP(G18,'Base de Dados'!$D$2:$E$1048576,2,)</f>
        <v>Pleno</v>
      </c>
      <c r="I18" s="2">
        <v>3</v>
      </c>
      <c r="J18" s="2">
        <f>VLOOKUP(H18,'Base de Dados'!$A$2:$B$7,2,FALSE)</f>
        <v>20</v>
      </c>
      <c r="K18" s="8">
        <f t="shared" si="3"/>
        <v>0.15</v>
      </c>
    </row>
    <row r="19" spans="1:11" x14ac:dyDescent="0.25">
      <c r="A19" s="7" t="s">
        <v>15</v>
      </c>
      <c r="B19" s="2" t="str">
        <f>VLOOKUP(A19,'Base de Dados'!$D$2:$E$1048576,2,)</f>
        <v>Junior</v>
      </c>
      <c r="C19" s="2">
        <v>8</v>
      </c>
      <c r="D19" s="2">
        <f>VLOOKUP(B19,'Base de Dados'!$A$2:$B$7,2,FALSE)</f>
        <v>15</v>
      </c>
      <c r="E19" s="8">
        <f t="shared" si="2"/>
        <v>0.53333333333333333</v>
      </c>
      <c r="G19" s="7" t="s">
        <v>15</v>
      </c>
      <c r="H19" s="2" t="str">
        <f>VLOOKUP(G19,'Base de Dados'!$D$2:$E$1048576,2,)</f>
        <v>Junior</v>
      </c>
      <c r="I19" s="2">
        <v>5</v>
      </c>
      <c r="J19" s="2">
        <f>VLOOKUP(H19,'Base de Dados'!$A$2:$B$7,2,FALSE)</f>
        <v>15</v>
      </c>
      <c r="K19" s="8">
        <f t="shared" si="3"/>
        <v>0.33333333333333331</v>
      </c>
    </row>
    <row r="20" spans="1:11" x14ac:dyDescent="0.25">
      <c r="A20" s="7" t="s">
        <v>16</v>
      </c>
      <c r="B20" s="2" t="str">
        <f>VLOOKUP(A20,'Base de Dados'!$D$2:$E$1048576,2,)</f>
        <v>Junior</v>
      </c>
      <c r="C20" s="2">
        <v>10</v>
      </c>
      <c r="D20" s="2">
        <f>VLOOKUP(B20,'Base de Dados'!$A$2:$B$7,2,FALSE)</f>
        <v>15</v>
      </c>
      <c r="E20" s="8">
        <f t="shared" si="2"/>
        <v>0.66666666666666663</v>
      </c>
      <c r="G20" s="7" t="s">
        <v>16</v>
      </c>
      <c r="H20" s="2" t="str">
        <f>VLOOKUP(G20,'Base de Dados'!$D$2:$E$1048576,2,)</f>
        <v>Junior</v>
      </c>
      <c r="I20" s="2">
        <v>8</v>
      </c>
      <c r="J20" s="2">
        <f>VLOOKUP(H20,'Base de Dados'!$A$2:$B$7,2,FALSE)</f>
        <v>15</v>
      </c>
      <c r="K20" s="8">
        <f t="shared" si="3"/>
        <v>0.53333333333333333</v>
      </c>
    </row>
    <row r="21" spans="1:11" x14ac:dyDescent="0.25">
      <c r="A21" s="7" t="s">
        <v>17</v>
      </c>
      <c r="B21" s="2" t="str">
        <f>VLOOKUP(A21,'Base de Dados'!$D$2:$E$1048576,2,)</f>
        <v>Especialista</v>
      </c>
      <c r="C21" s="2">
        <v>12</v>
      </c>
      <c r="D21" s="2">
        <f>VLOOKUP(B21,'Base de Dados'!$A$2:$B$7,2,FALSE)</f>
        <v>30</v>
      </c>
      <c r="E21" s="8">
        <f t="shared" si="2"/>
        <v>0.4</v>
      </c>
      <c r="G21" s="7" t="s">
        <v>17</v>
      </c>
      <c r="H21" s="2" t="str">
        <f>VLOOKUP(G21,'Base de Dados'!$D$2:$E$1048576,2,)</f>
        <v>Especialista</v>
      </c>
      <c r="I21" s="2">
        <v>13</v>
      </c>
      <c r="J21" s="2">
        <f>VLOOKUP(H21,'Base de Dados'!$A$2:$B$7,2,FALSE)</f>
        <v>30</v>
      </c>
      <c r="K21" s="8">
        <f t="shared" si="3"/>
        <v>0.43333333333333335</v>
      </c>
    </row>
    <row r="22" spans="1:11" x14ac:dyDescent="0.25">
      <c r="A22" s="7" t="s">
        <v>18</v>
      </c>
      <c r="B22" s="2" t="str">
        <f>VLOOKUP(A22,'Base de Dados'!$D$2:$E$1048576,2,)</f>
        <v>Junior</v>
      </c>
      <c r="C22" s="2">
        <v>14</v>
      </c>
      <c r="D22" s="2">
        <f>VLOOKUP(B22,'Base de Dados'!$A$2:$B$7,2,FALSE)</f>
        <v>15</v>
      </c>
      <c r="E22" s="8">
        <f t="shared" si="2"/>
        <v>0.93333333333333335</v>
      </c>
      <c r="G22" s="7" t="s">
        <v>18</v>
      </c>
      <c r="H22" s="2" t="str">
        <f>VLOOKUP(G22,'Base de Dados'!$D$2:$E$1048576,2,)</f>
        <v>Junior</v>
      </c>
      <c r="I22" s="2">
        <v>21</v>
      </c>
      <c r="J22" s="2">
        <f>VLOOKUP(H22,'Base de Dados'!$A$2:$B$7,2,FALSE)</f>
        <v>15</v>
      </c>
      <c r="K22" s="8">
        <f t="shared" si="3"/>
        <v>1.4</v>
      </c>
    </row>
    <row r="23" spans="1:11" x14ac:dyDescent="0.25">
      <c r="A23" s="7" t="s">
        <v>19</v>
      </c>
      <c r="B23" s="2" t="str">
        <f>VLOOKUP(A23,'Base de Dados'!$D$2:$E$1048576,2,)</f>
        <v>Junior</v>
      </c>
      <c r="C23" s="2">
        <v>16</v>
      </c>
      <c r="D23" s="2">
        <f>VLOOKUP(B23,'Base de Dados'!$A$2:$B$7,2,FALSE)</f>
        <v>15</v>
      </c>
      <c r="E23" s="8">
        <f t="shared" si="2"/>
        <v>1.0666666666666667</v>
      </c>
      <c r="G23" s="7" t="s">
        <v>19</v>
      </c>
      <c r="H23" s="2" t="str">
        <f>VLOOKUP(G23,'Base de Dados'!$D$2:$E$1048576,2,)</f>
        <v>Junior</v>
      </c>
      <c r="I23" s="2">
        <v>44</v>
      </c>
      <c r="J23" s="2">
        <f>VLOOKUP(H23,'Base de Dados'!$A$2:$B$7,2,FALSE)</f>
        <v>15</v>
      </c>
      <c r="K23" s="8">
        <f t="shared" si="3"/>
        <v>2.9333333333333331</v>
      </c>
    </row>
    <row r="24" spans="1:11" ht="15.75" thickBot="1" x14ac:dyDescent="0.3">
      <c r="A24" s="9" t="s">
        <v>20</v>
      </c>
      <c r="B24" s="10" t="str">
        <f>VLOOKUP(A24,'Base de Dados'!$D$2:$E$1048576,2,)</f>
        <v>Junior</v>
      </c>
      <c r="C24" s="10">
        <v>18</v>
      </c>
      <c r="D24" s="10">
        <f>VLOOKUP(B24,'Base de Dados'!$A$2:$B$7,2,FALSE)</f>
        <v>15</v>
      </c>
      <c r="E24" s="11">
        <f t="shared" si="2"/>
        <v>1.2</v>
      </c>
      <c r="G24" s="9" t="s">
        <v>20</v>
      </c>
      <c r="H24" s="10" t="str">
        <f>VLOOKUP(G24,'Base de Dados'!$D$2:$E$1048576,2,)</f>
        <v>Junior</v>
      </c>
      <c r="I24" s="10">
        <v>65</v>
      </c>
      <c r="J24" s="10">
        <f>VLOOKUP(H24,'Base de Dados'!$A$2:$B$7,2,FALSE)</f>
        <v>15</v>
      </c>
      <c r="K24" s="11">
        <f t="shared" si="3"/>
        <v>4.333333333333333</v>
      </c>
    </row>
    <row r="25" spans="1:11" ht="15.75" thickBot="1" x14ac:dyDescent="0.3"/>
    <row r="26" spans="1:11" x14ac:dyDescent="0.25">
      <c r="A26" s="18" t="s">
        <v>26</v>
      </c>
      <c r="B26" s="19"/>
      <c r="C26" s="19"/>
      <c r="D26" s="19"/>
      <c r="E26" s="20"/>
    </row>
    <row r="27" spans="1:11" x14ac:dyDescent="0.25">
      <c r="A27" s="5" t="s">
        <v>0</v>
      </c>
      <c r="B27" s="4" t="s">
        <v>4</v>
      </c>
      <c r="C27" s="4" t="s">
        <v>1</v>
      </c>
      <c r="D27" s="4" t="s">
        <v>3</v>
      </c>
      <c r="E27" s="6" t="s">
        <v>9</v>
      </c>
    </row>
    <row r="28" spans="1:11" x14ac:dyDescent="0.25">
      <c r="A28" s="7" t="s">
        <v>8</v>
      </c>
      <c r="B28" s="2" t="str">
        <f>VLOOKUP(A28,'Base de Dados'!$D$2:$E$1048576,2,)</f>
        <v>Pleno</v>
      </c>
      <c r="C28" s="2">
        <v>2</v>
      </c>
      <c r="D28" s="2">
        <f>VLOOKUP(B28,'Base de Dados'!$A$2:$B$7,2,FALSE)</f>
        <v>20</v>
      </c>
      <c r="E28" s="8">
        <f>C28/D28</f>
        <v>0.1</v>
      </c>
    </row>
    <row r="29" spans="1:11" x14ac:dyDescent="0.25">
      <c r="A29" s="7" t="s">
        <v>13</v>
      </c>
      <c r="B29" s="2" t="str">
        <f>VLOOKUP(A29,'Base de Dados'!$D$2:$E$1048576,2,)</f>
        <v>Pleno</v>
      </c>
      <c r="C29" s="2">
        <v>4</v>
      </c>
      <c r="D29" s="2">
        <f>VLOOKUP(B29,'Base de Dados'!$A$2:$B$7,2,FALSE)</f>
        <v>20</v>
      </c>
      <c r="E29" s="8">
        <f t="shared" ref="E29:E36" si="4">C29/D29</f>
        <v>0.2</v>
      </c>
    </row>
    <row r="30" spans="1:11" x14ac:dyDescent="0.25">
      <c r="A30" s="7" t="s">
        <v>14</v>
      </c>
      <c r="B30" s="2" t="str">
        <f>VLOOKUP(A30,'Base de Dados'!$D$2:$E$1048576,2,)</f>
        <v>Pleno</v>
      </c>
      <c r="C30" s="2">
        <v>8</v>
      </c>
      <c r="D30" s="2">
        <f>VLOOKUP(B30,'Base de Dados'!$A$2:$B$7,2,FALSE)</f>
        <v>20</v>
      </c>
      <c r="E30" s="8">
        <f t="shared" si="4"/>
        <v>0.4</v>
      </c>
    </row>
    <row r="31" spans="1:11" x14ac:dyDescent="0.25">
      <c r="A31" s="7" t="s">
        <v>15</v>
      </c>
      <c r="B31" s="2" t="str">
        <f>VLOOKUP(A31,'Base de Dados'!$D$2:$E$1048576,2,)</f>
        <v>Junior</v>
      </c>
      <c r="C31" s="2">
        <v>16</v>
      </c>
      <c r="D31" s="2">
        <f>VLOOKUP(B31,'Base de Dados'!$A$2:$B$7,2,FALSE)</f>
        <v>15</v>
      </c>
      <c r="E31" s="8">
        <f t="shared" si="4"/>
        <v>1.0666666666666667</v>
      </c>
    </row>
    <row r="32" spans="1:11" x14ac:dyDescent="0.25">
      <c r="A32" s="7" t="s">
        <v>16</v>
      </c>
      <c r="B32" s="2" t="str">
        <f>VLOOKUP(A32,'Base de Dados'!$D$2:$E$1048576,2,)</f>
        <v>Junior</v>
      </c>
      <c r="C32" s="2">
        <v>32</v>
      </c>
      <c r="D32" s="2">
        <f>VLOOKUP(B32,'Base de Dados'!$A$2:$B$7,2,FALSE)</f>
        <v>15</v>
      </c>
      <c r="E32" s="8">
        <f t="shared" si="4"/>
        <v>2.1333333333333333</v>
      </c>
    </row>
    <row r="33" spans="1:5" x14ac:dyDescent="0.25">
      <c r="A33" s="7" t="s">
        <v>17</v>
      </c>
      <c r="B33" s="2" t="str">
        <f>VLOOKUP(A33,'Base de Dados'!$D$2:$E$1048576,2,)</f>
        <v>Especialista</v>
      </c>
      <c r="C33" s="2">
        <v>64</v>
      </c>
      <c r="D33" s="2">
        <f>VLOOKUP(B33,'Base de Dados'!$A$2:$B$7,2,FALSE)</f>
        <v>30</v>
      </c>
      <c r="E33" s="8">
        <f t="shared" si="4"/>
        <v>2.1333333333333333</v>
      </c>
    </row>
    <row r="34" spans="1:5" x14ac:dyDescent="0.25">
      <c r="A34" s="7" t="s">
        <v>18</v>
      </c>
      <c r="B34" s="2" t="str">
        <f>VLOOKUP(A34,'Base de Dados'!$D$2:$E$1048576,2,)</f>
        <v>Junior</v>
      </c>
      <c r="C34" s="2">
        <v>128</v>
      </c>
      <c r="D34" s="2">
        <f>VLOOKUP(B34,'Base de Dados'!$A$2:$B$7,2,FALSE)</f>
        <v>15</v>
      </c>
      <c r="E34" s="8">
        <f t="shared" si="4"/>
        <v>8.5333333333333332</v>
      </c>
    </row>
    <row r="35" spans="1:5" x14ac:dyDescent="0.25">
      <c r="A35" s="7" t="s">
        <v>19</v>
      </c>
      <c r="B35" s="2" t="str">
        <f>VLOOKUP(A35,'Base de Dados'!$D$2:$E$1048576,2,)</f>
        <v>Junior</v>
      </c>
      <c r="C35" s="2">
        <v>256</v>
      </c>
      <c r="D35" s="2">
        <f>VLOOKUP(B35,'Base de Dados'!$A$2:$B$7,2,FALSE)</f>
        <v>15</v>
      </c>
      <c r="E35" s="8">
        <f t="shared" si="4"/>
        <v>17.066666666666666</v>
      </c>
    </row>
    <row r="36" spans="1:5" ht="15.75" thickBot="1" x14ac:dyDescent="0.3">
      <c r="A36" s="9" t="s">
        <v>20</v>
      </c>
      <c r="B36" s="10" t="str">
        <f>VLOOKUP(A36,'Base de Dados'!$D$2:$E$1048576,2,)</f>
        <v>Junior</v>
      </c>
      <c r="C36" s="10">
        <v>512</v>
      </c>
      <c r="D36" s="10">
        <f>VLOOKUP(B36,'Base de Dados'!$A$2:$B$7,2,FALSE)</f>
        <v>15</v>
      </c>
      <c r="E36" s="11">
        <f t="shared" si="4"/>
        <v>34.133333333333333</v>
      </c>
    </row>
  </sheetData>
  <mergeCells count="6">
    <mergeCell ref="A26:E26"/>
    <mergeCell ref="A1:K1"/>
    <mergeCell ref="A2:E2"/>
    <mergeCell ref="G2:K2"/>
    <mergeCell ref="A14:E14"/>
    <mergeCell ref="G14:K14"/>
  </mergeCells>
  <conditionalFormatting sqref="E16:E24">
    <cfRule type="dataBar" priority="7">
      <dataBar>
        <cfvo type="percent" val="0"/>
        <cfvo type="percent" val="100"/>
        <color theme="8" tint="-0.249977111117893"/>
      </dataBar>
      <extLst>
        <ext xmlns:x14="http://schemas.microsoft.com/office/spreadsheetml/2009/9/main" uri="{B025F937-C7B1-47D3-B67F-A62EFF666E3E}">
          <x14:id>{CDF587E6-E958-4D73-8138-C1034B3934A1}</x14:id>
        </ext>
      </extLst>
    </cfRule>
  </conditionalFormatting>
  <conditionalFormatting sqref="E4:E12">
    <cfRule type="dataBar" priority="4">
      <dataBar>
        <cfvo type="percent" val="0"/>
        <cfvo type="percent" val="100"/>
        <color theme="8" tint="-0.249977111117893"/>
      </dataBar>
      <extLst>
        <ext xmlns:x14="http://schemas.microsoft.com/office/spreadsheetml/2009/9/main" uri="{B025F937-C7B1-47D3-B67F-A62EFF666E3E}">
          <x14:id>{9D6A9506-F635-4754-A352-73D97278D82F}</x14:id>
        </ext>
      </extLst>
    </cfRule>
  </conditionalFormatting>
  <conditionalFormatting sqref="K4:K12">
    <cfRule type="dataBar" priority="3">
      <dataBar>
        <cfvo type="percent" val="0"/>
        <cfvo type="percent" val="100"/>
        <color theme="8" tint="-0.249977111117893"/>
      </dataBar>
      <extLst>
        <ext xmlns:x14="http://schemas.microsoft.com/office/spreadsheetml/2009/9/main" uri="{B025F937-C7B1-47D3-B67F-A62EFF666E3E}">
          <x14:id>{60D12D4F-6C9E-4311-AC75-F72B95840526}</x14:id>
        </ext>
      </extLst>
    </cfRule>
  </conditionalFormatting>
  <conditionalFormatting sqref="K16:K24">
    <cfRule type="dataBar" priority="2">
      <dataBar>
        <cfvo type="percent" val="0"/>
        <cfvo type="percent" val="100"/>
        <color theme="8" tint="-0.249977111117893"/>
      </dataBar>
      <extLst>
        <ext xmlns:x14="http://schemas.microsoft.com/office/spreadsheetml/2009/9/main" uri="{B025F937-C7B1-47D3-B67F-A62EFF666E3E}">
          <x14:id>{6279480B-33E6-490A-B3BE-8406F21319FC}</x14:id>
        </ext>
      </extLst>
    </cfRule>
  </conditionalFormatting>
  <conditionalFormatting sqref="E28:E36">
    <cfRule type="dataBar" priority="1">
      <dataBar>
        <cfvo type="percent" val="0"/>
        <cfvo type="percent" val="100"/>
        <color theme="8" tint="-0.249977111117893"/>
      </dataBar>
      <extLst>
        <ext xmlns:x14="http://schemas.microsoft.com/office/spreadsheetml/2009/9/main" uri="{B025F937-C7B1-47D3-B67F-A62EFF666E3E}">
          <x14:id>{67D06172-5756-469F-A218-F39E141A618A}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F587E6-E958-4D73-8138-C1034B3934A1}">
            <x14:dataBar minLength="0" maxLength="100" direction="leftToRight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E16:E24</xm:sqref>
        </x14:conditionalFormatting>
        <x14:conditionalFormatting xmlns:xm="http://schemas.microsoft.com/office/excel/2006/main">
          <x14:cfRule type="dataBar" id="{9D6A9506-F635-4754-A352-73D97278D82F}">
            <x14:dataBar minLength="0" maxLength="100" direction="leftToRight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E4:E12</xm:sqref>
        </x14:conditionalFormatting>
        <x14:conditionalFormatting xmlns:xm="http://schemas.microsoft.com/office/excel/2006/main">
          <x14:cfRule type="dataBar" id="{60D12D4F-6C9E-4311-AC75-F72B95840526}">
            <x14:dataBar minLength="0" maxLength="100" direction="leftToRight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K4:K12</xm:sqref>
        </x14:conditionalFormatting>
        <x14:conditionalFormatting xmlns:xm="http://schemas.microsoft.com/office/excel/2006/main">
          <x14:cfRule type="dataBar" id="{6279480B-33E6-490A-B3BE-8406F21319FC}">
            <x14:dataBar minLength="0" maxLength="100" direction="leftToRight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K16:K24</xm:sqref>
        </x14:conditionalFormatting>
        <x14:conditionalFormatting xmlns:xm="http://schemas.microsoft.com/office/excel/2006/main">
          <x14:cfRule type="dataBar" id="{67D06172-5756-469F-A218-F39E141A618A}">
            <x14:dataBar minLength="0" maxLength="100" direction="leftToRight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E28:E36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559C453-AA91-40D9-BE67-3A46888BEBB3}">
          <x14:formula1>
            <xm:f>'Base de Dados'!$D$2:$D$1048576</xm:f>
          </x14:formula1>
          <xm:sqref>G4:G12 A4:A13 A16:A24 G16:G24 A28:A36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10E373-63F7-4F8D-B537-C282C47D0DB5}">
  <sheetPr codeName="Planilha15"/>
  <dimension ref="A1:E10"/>
  <sheetViews>
    <sheetView workbookViewId="0">
      <selection activeCell="G13" sqref="G13"/>
    </sheetView>
  </sheetViews>
  <sheetFormatPr defaultRowHeight="15" x14ac:dyDescent="0.25"/>
  <cols>
    <col min="1" max="1" width="11.28515625" bestFit="1" customWidth="1"/>
    <col min="4" max="4" width="17.5703125" style="2" bestFit="1" customWidth="1"/>
    <col min="5" max="5" width="11.28515625" style="2" bestFit="1" customWidth="1"/>
  </cols>
  <sheetData>
    <row r="1" spans="1:5" ht="16.5" thickTop="1" thickBot="1" x14ac:dyDescent="0.3">
      <c r="A1" s="3" t="s">
        <v>11</v>
      </c>
      <c r="B1" s="3" t="s">
        <v>3</v>
      </c>
      <c r="D1" s="3" t="s">
        <v>10</v>
      </c>
      <c r="E1" s="3" t="s">
        <v>11</v>
      </c>
    </row>
    <row r="2" spans="1:5" ht="15.75" thickTop="1" x14ac:dyDescent="0.25">
      <c r="A2" s="2" t="s">
        <v>7</v>
      </c>
      <c r="B2" s="2">
        <v>25</v>
      </c>
      <c r="D2" s="2" t="s">
        <v>8</v>
      </c>
      <c r="E2" s="2" t="s">
        <v>5</v>
      </c>
    </row>
    <row r="3" spans="1:5" x14ac:dyDescent="0.25">
      <c r="A3" s="2" t="s">
        <v>5</v>
      </c>
      <c r="B3" s="2">
        <v>20</v>
      </c>
      <c r="D3" s="2" t="s">
        <v>13</v>
      </c>
      <c r="E3" s="2" t="s">
        <v>5</v>
      </c>
    </row>
    <row r="4" spans="1:5" x14ac:dyDescent="0.25">
      <c r="A4" s="2" t="s">
        <v>2</v>
      </c>
      <c r="B4" s="2">
        <v>15</v>
      </c>
      <c r="D4" s="2" t="s">
        <v>14</v>
      </c>
      <c r="E4" s="2" t="s">
        <v>5</v>
      </c>
    </row>
    <row r="5" spans="1:5" x14ac:dyDescent="0.25">
      <c r="A5" s="2" t="s">
        <v>6</v>
      </c>
      <c r="B5" s="2">
        <v>10</v>
      </c>
      <c r="D5" s="2" t="s">
        <v>15</v>
      </c>
      <c r="E5" s="2" t="s">
        <v>2</v>
      </c>
    </row>
    <row r="6" spans="1:5" x14ac:dyDescent="0.25">
      <c r="A6" s="2" t="s">
        <v>21</v>
      </c>
      <c r="B6" s="2">
        <v>30</v>
      </c>
      <c r="D6" s="2" t="s">
        <v>16</v>
      </c>
      <c r="E6" s="2" t="s">
        <v>2</v>
      </c>
    </row>
    <row r="7" spans="1:5" x14ac:dyDescent="0.25">
      <c r="A7" s="2"/>
      <c r="B7" s="2"/>
      <c r="D7" s="2" t="s">
        <v>17</v>
      </c>
      <c r="E7" s="2" t="s">
        <v>21</v>
      </c>
    </row>
    <row r="8" spans="1:5" x14ac:dyDescent="0.25">
      <c r="D8" s="2" t="s">
        <v>18</v>
      </c>
      <c r="E8" s="2" t="s">
        <v>2</v>
      </c>
    </row>
    <row r="9" spans="1:5" x14ac:dyDescent="0.25">
      <c r="D9" s="2" t="s">
        <v>19</v>
      </c>
      <c r="E9" s="2" t="s">
        <v>2</v>
      </c>
    </row>
    <row r="10" spans="1:5" x14ac:dyDescent="0.25">
      <c r="D10" s="2" t="s">
        <v>20</v>
      </c>
      <c r="E10" s="2" t="s">
        <v>2</v>
      </c>
    </row>
  </sheetData>
  <dataValidations count="1">
    <dataValidation type="list" allowBlank="1" showInputMessage="1" showErrorMessage="1" sqref="E2:E1048576" xr:uid="{6AEF44F6-D938-4245-A44C-FAB13C6F1422}">
      <formula1>$A$2:$A$7</formula1>
    </dataValidation>
  </dataValidation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15</vt:i4>
      </vt:variant>
    </vt:vector>
  </HeadingPairs>
  <TitlesOfParts>
    <vt:vector size="15" baseType="lpstr">
      <vt:lpstr>Tela Inicial</vt:lpstr>
      <vt:lpstr>Gráficos</vt:lpstr>
      <vt:lpstr>Janeiro</vt:lpstr>
      <vt:lpstr>Fevereiro</vt:lpstr>
      <vt:lpstr>Março</vt:lpstr>
      <vt:lpstr>Abril</vt:lpstr>
      <vt:lpstr>Maio</vt:lpstr>
      <vt:lpstr>Junho</vt:lpstr>
      <vt:lpstr>Julho</vt:lpstr>
      <vt:lpstr>Agosto</vt:lpstr>
      <vt:lpstr>Setembro</vt:lpstr>
      <vt:lpstr>Outubro</vt:lpstr>
      <vt:lpstr>Novembro</vt:lpstr>
      <vt:lpstr>Dezembro 2021</vt:lpstr>
      <vt:lpstr>Base de 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Navarro</dc:creator>
  <cp:lastModifiedBy>Daniel Navarro</cp:lastModifiedBy>
  <dcterms:created xsi:type="dcterms:W3CDTF">2021-12-18T02:02:36Z</dcterms:created>
  <dcterms:modified xsi:type="dcterms:W3CDTF">2021-12-19T04:11:21Z</dcterms:modified>
</cp:coreProperties>
</file>